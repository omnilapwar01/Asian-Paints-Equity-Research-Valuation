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eebb75010db17786/Desktop/Asian Paint Model/"/>
    </mc:Choice>
  </mc:AlternateContent>
  <xr:revisionPtr revIDLastSave="14" documentId="8_{932C334F-2492-4F38-A288-B0C01BFE29EC}" xr6:coauthVersionLast="47" xr6:coauthVersionMax="47" xr10:uidLastSave="{97B74E35-C1FA-4612-8A50-F072B8402EA1}"/>
  <bookViews>
    <workbookView xWindow="-108" yWindow="-108" windowWidth="23256" windowHeight="12456" firstSheet="1" activeTab="2" xr2:uid="{42B913B6-6D6A-47D8-AE6B-6D55C2CC947E}"/>
  </bookViews>
  <sheets>
    <sheet name="Index" sheetId="12" r:id="rId1"/>
    <sheet name="Assumption" sheetId="13" r:id="rId2"/>
    <sheet name="Model" sheetId="1" r:id="rId3"/>
    <sheet name="Ratios" sheetId="11" r:id="rId4"/>
    <sheet name="WACC" sheetId="8" r:id="rId5"/>
    <sheet name="Beta" sheetId="10" r:id="rId6"/>
    <sheet name="Company Valuation" sheetId="6" r:id="rId7"/>
    <sheet name="Scenario" sheetId="5" r:id="rId8"/>
    <sheet name="P&amp;L" sheetId="3" r:id="rId9"/>
    <sheet name="BS" sheetId="2" r:id="rId10"/>
    <sheet name="CF" sheetId="4" r:id="rId11"/>
    <sheet name="Index Data" sheetId="9" r:id="rId12"/>
    <sheet name="Company Data" sheetId="7" r:id="rId13"/>
  </sheets>
  <definedNames>
    <definedName name="_xlnm._FilterDatabase" localSheetId="12" hidden="1">'Company Data'!$E$7:$E$15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8" i="1" l="1"/>
  <c r="E140" i="1"/>
  <c r="F68" i="1"/>
  <c r="G68" i="1"/>
  <c r="H68" i="1"/>
  <c r="I68" i="1"/>
  <c r="G10" i="7"/>
  <c r="J10" i="7" s="1"/>
  <c r="G11" i="7"/>
  <c r="J11" i="7" s="1"/>
  <c r="G12" i="7"/>
  <c r="J12" i="7" s="1"/>
  <c r="G13" i="7"/>
  <c r="J13" i="7" s="1"/>
  <c r="G14" i="7"/>
  <c r="J14" i="7" s="1"/>
  <c r="G15" i="7"/>
  <c r="J15" i="7" s="1"/>
  <c r="G9" i="7"/>
  <c r="J9" i="7" s="1"/>
  <c r="F8" i="9"/>
  <c r="F10" i="9" s="1"/>
  <c r="D32" i="13" l="1"/>
  <c r="D30" i="13"/>
  <c r="D29" i="13"/>
  <c r="D28" i="13"/>
  <c r="D9" i="6" l="1"/>
  <c r="F9" i="6"/>
  <c r="H181" i="1" l="1"/>
  <c r="E61" i="1" l="1"/>
  <c r="O115" i="1"/>
  <c r="G10" i="5"/>
  <c r="H10" i="5" s="1"/>
  <c r="I10" i="5" s="1"/>
  <c r="J10" i="5" s="1"/>
  <c r="K10" i="5" s="1"/>
  <c r="L10" i="5" s="1"/>
  <c r="M10" i="5" s="1"/>
  <c r="N10" i="5" s="1"/>
  <c r="O10" i="5" s="1"/>
  <c r="G9" i="5"/>
  <c r="H9" i="5" s="1"/>
  <c r="I9" i="5" s="1"/>
  <c r="J9" i="5" s="1"/>
  <c r="K9" i="5" s="1"/>
  <c r="L9" i="5" s="1"/>
  <c r="M9" i="5" s="1"/>
  <c r="N9" i="5" s="1"/>
  <c r="O9" i="5" s="1"/>
  <c r="P115" i="1"/>
  <c r="Q115" i="1"/>
  <c r="R115" i="1"/>
  <c r="S115" i="1"/>
  <c r="E90" i="1"/>
  <c r="F90" i="1"/>
  <c r="G90" i="1"/>
  <c r="H90" i="1"/>
  <c r="I90" i="1"/>
  <c r="J90" i="1" s="1"/>
  <c r="K90" i="1" s="1"/>
  <c r="L90" i="1" s="1"/>
  <c r="M90" i="1" s="1"/>
  <c r="N90" i="1" s="1"/>
  <c r="O90" i="1" s="1"/>
  <c r="P90" i="1" s="1"/>
  <c r="Q90" i="1" s="1"/>
  <c r="R90" i="1" s="1"/>
  <c r="S90" i="1" s="1"/>
  <c r="H10" i="6"/>
  <c r="H9" i="6"/>
  <c r="F4" i="11"/>
  <c r="G4" i="11" s="1"/>
  <c r="H4" i="11" s="1"/>
  <c r="I4" i="11" s="1"/>
  <c r="J4" i="11" s="1"/>
  <c r="K4" i="11" s="1"/>
  <c r="L4" i="11" s="1"/>
  <c r="M4" i="11" s="1"/>
  <c r="N4" i="11" s="1"/>
  <c r="O4" i="11" s="1"/>
  <c r="P4" i="11" s="1"/>
  <c r="Q4" i="11" s="1"/>
  <c r="R4" i="11" s="1"/>
  <c r="S4" i="11" s="1"/>
  <c r="D45" i="8" l="1"/>
  <c r="D46" i="8" s="1"/>
  <c r="I7" i="10" l="1"/>
  <c r="I6"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10" i="10"/>
  <c r="I9" i="10" l="1"/>
  <c r="D6" i="4"/>
  <c r="D6" i="3" s="1"/>
  <c r="E161" i="1"/>
  <c r="F161" i="1" s="1"/>
  <c r="G161" i="1" l="1"/>
  <c r="H161" i="1" l="1"/>
  <c r="I161" i="1" l="1"/>
  <c r="J161" i="1" s="1"/>
  <c r="K161" i="1" s="1"/>
  <c r="L161" i="1" s="1"/>
  <c r="M161" i="1" s="1"/>
  <c r="N161" i="1" s="1"/>
  <c r="I21" i="8" l="1"/>
  <c r="B21" i="8"/>
  <c r="I19" i="8"/>
  <c r="I18" i="8"/>
  <c r="H11" i="8"/>
  <c r="H12" i="8"/>
  <c r="H13" i="8"/>
  <c r="H14" i="8"/>
  <c r="H15" i="8"/>
  <c r="H16" i="8"/>
  <c r="H10" i="8"/>
  <c r="H21" i="8" s="1"/>
  <c r="L20" i="6"/>
  <c r="B20" i="6"/>
  <c r="G10" i="6"/>
  <c r="E11" i="8" s="1"/>
  <c r="I10" i="6"/>
  <c r="K10" i="6"/>
  <c r="M10" i="6"/>
  <c r="P10" i="6"/>
  <c r="Q10" i="6"/>
  <c r="G11" i="6"/>
  <c r="E12" i="8" s="1"/>
  <c r="H11" i="6"/>
  <c r="I11" i="6"/>
  <c r="K11" i="6"/>
  <c r="M11" i="6"/>
  <c r="P11" i="6"/>
  <c r="Q11" i="6"/>
  <c r="G12" i="6"/>
  <c r="E13" i="8" s="1"/>
  <c r="H12" i="6"/>
  <c r="I12" i="6"/>
  <c r="K12" i="6"/>
  <c r="M12" i="6"/>
  <c r="P12" i="6"/>
  <c r="Q12" i="6"/>
  <c r="G13" i="6"/>
  <c r="E14" i="8" s="1"/>
  <c r="H13" i="6"/>
  <c r="I13" i="6"/>
  <c r="K13" i="6"/>
  <c r="M13" i="6"/>
  <c r="P13" i="6"/>
  <c r="Q13" i="6"/>
  <c r="G14" i="6"/>
  <c r="E15" i="8" s="1"/>
  <c r="H14" i="6"/>
  <c r="I14" i="6"/>
  <c r="K14" i="6"/>
  <c r="M14" i="6"/>
  <c r="P14" i="6"/>
  <c r="Q14" i="6"/>
  <c r="G15" i="6"/>
  <c r="E16" i="8" s="1"/>
  <c r="I15" i="6"/>
  <c r="K15" i="6"/>
  <c r="M15" i="6"/>
  <c r="P15" i="6"/>
  <c r="Q9" i="6"/>
  <c r="P9" i="6"/>
  <c r="M9" i="6"/>
  <c r="M20" i="6" s="1"/>
  <c r="K9" i="6"/>
  <c r="K20" i="6" s="1"/>
  <c r="I9" i="6"/>
  <c r="I20" i="6" s="1"/>
  <c r="H20" i="6"/>
  <c r="G9" i="6"/>
  <c r="G20" i="6" s="1"/>
  <c r="F10" i="6"/>
  <c r="D11" i="8" s="1"/>
  <c r="F11" i="6"/>
  <c r="D12" i="8" s="1"/>
  <c r="F12" i="6"/>
  <c r="D13" i="8" s="1"/>
  <c r="F13" i="6"/>
  <c r="D14" i="8" s="1"/>
  <c r="F14" i="6"/>
  <c r="F15" i="6"/>
  <c r="D10" i="6"/>
  <c r="D11" i="6"/>
  <c r="D12" i="6"/>
  <c r="D13" i="6"/>
  <c r="D14" i="6"/>
  <c r="D15" i="6"/>
  <c r="C158" i="1"/>
  <c r="I99" i="1"/>
  <c r="K124" i="1"/>
  <c r="L124" i="1" s="1"/>
  <c r="M124" i="1" s="1"/>
  <c r="N124" i="1" s="1"/>
  <c r="O124" i="1" s="1"/>
  <c r="P124" i="1" s="1"/>
  <c r="Q124" i="1" s="1"/>
  <c r="R124" i="1" s="1"/>
  <c r="S124" i="1" s="1"/>
  <c r="K110" i="1"/>
  <c r="L110" i="1" s="1"/>
  <c r="M110" i="1" s="1"/>
  <c r="N110" i="1" s="1"/>
  <c r="O110" i="1" s="1"/>
  <c r="P110" i="1" s="1"/>
  <c r="Q110" i="1" s="1"/>
  <c r="R110" i="1" s="1"/>
  <c r="S110" i="1" s="1"/>
  <c r="K115" i="1"/>
  <c r="L115" i="1"/>
  <c r="M115" i="1"/>
  <c r="N115" i="1"/>
  <c r="J115" i="1"/>
  <c r="E30" i="1"/>
  <c r="F123" i="1"/>
  <c r="G123" i="1"/>
  <c r="H123" i="1"/>
  <c r="I123" i="1"/>
  <c r="F124" i="1"/>
  <c r="G124" i="1"/>
  <c r="H124" i="1"/>
  <c r="I124" i="1"/>
  <c r="E124" i="1"/>
  <c r="E123" i="1"/>
  <c r="F130" i="1"/>
  <c r="G130" i="1"/>
  <c r="H130" i="1"/>
  <c r="I130" i="1"/>
  <c r="F131" i="1"/>
  <c r="G131" i="1"/>
  <c r="H131" i="1"/>
  <c r="I131" i="1"/>
  <c r="F132" i="1"/>
  <c r="G132" i="1"/>
  <c r="H132" i="1"/>
  <c r="I132" i="1"/>
  <c r="F133" i="1"/>
  <c r="G133" i="1"/>
  <c r="H133" i="1"/>
  <c r="I133" i="1"/>
  <c r="F115" i="1"/>
  <c r="G115" i="1"/>
  <c r="H115" i="1"/>
  <c r="I115" i="1"/>
  <c r="F116" i="1"/>
  <c r="G116" i="1"/>
  <c r="H116" i="1"/>
  <c r="I116" i="1"/>
  <c r="K116" i="1" s="1"/>
  <c r="L116" i="1" s="1"/>
  <c r="M116" i="1" s="1"/>
  <c r="N116" i="1" s="1"/>
  <c r="O116" i="1" s="1"/>
  <c r="P116" i="1" s="1"/>
  <c r="Q116" i="1" s="1"/>
  <c r="R116" i="1" s="1"/>
  <c r="S116" i="1" s="1"/>
  <c r="F117" i="1"/>
  <c r="G117" i="1"/>
  <c r="H117" i="1"/>
  <c r="I117" i="1"/>
  <c r="F118" i="1"/>
  <c r="G118" i="1"/>
  <c r="H118" i="1"/>
  <c r="I118" i="1"/>
  <c r="F107" i="1"/>
  <c r="G107" i="1"/>
  <c r="H107" i="1"/>
  <c r="I107" i="1"/>
  <c r="F108" i="1"/>
  <c r="G108" i="1"/>
  <c r="H108" i="1"/>
  <c r="I108" i="1"/>
  <c r="F109" i="1"/>
  <c r="G109" i="1"/>
  <c r="H109" i="1"/>
  <c r="I109" i="1"/>
  <c r="F110" i="1"/>
  <c r="G110" i="1"/>
  <c r="H110" i="1"/>
  <c r="I110" i="1"/>
  <c r="F99" i="1"/>
  <c r="G99" i="1"/>
  <c r="H99" i="1"/>
  <c r="F100" i="1"/>
  <c r="F139" i="1" s="1"/>
  <c r="G100" i="1"/>
  <c r="G139" i="1" s="1"/>
  <c r="H100" i="1"/>
  <c r="H139" i="1" s="1"/>
  <c r="I100" i="1"/>
  <c r="I139" i="1" s="1"/>
  <c r="E133" i="1"/>
  <c r="D31" i="4"/>
  <c r="E101" i="1" s="1"/>
  <c r="E132" i="1"/>
  <c r="E131" i="1"/>
  <c r="E130" i="1"/>
  <c r="E116" i="1"/>
  <c r="E118" i="1"/>
  <c r="E117" i="1"/>
  <c r="E115" i="1"/>
  <c r="E110" i="1"/>
  <c r="E109" i="1"/>
  <c r="E108" i="1"/>
  <c r="E107" i="1"/>
  <c r="E31" i="4"/>
  <c r="F101" i="1" s="1"/>
  <c r="F31" i="4"/>
  <c r="G101" i="1" s="1"/>
  <c r="G31" i="4"/>
  <c r="H101" i="1" s="1"/>
  <c r="H31" i="4"/>
  <c r="I101" i="1" s="1"/>
  <c r="D33" i="4"/>
  <c r="E100" i="1"/>
  <c r="E139" i="1" s="1"/>
  <c r="E99" i="1"/>
  <c r="F61" i="1"/>
  <c r="G61" i="1"/>
  <c r="H61" i="1"/>
  <c r="I61" i="1"/>
  <c r="F62" i="1"/>
  <c r="G62" i="1"/>
  <c r="H62" i="1"/>
  <c r="I62" i="1"/>
  <c r="J62" i="1" s="1"/>
  <c r="K62" i="1" s="1"/>
  <c r="L62" i="1" s="1"/>
  <c r="F63" i="1"/>
  <c r="G63" i="1"/>
  <c r="H63" i="1"/>
  <c r="I63" i="1"/>
  <c r="F64" i="1"/>
  <c r="G64" i="1"/>
  <c r="H64" i="1"/>
  <c r="I64" i="1"/>
  <c r="F65" i="1"/>
  <c r="G65" i="1"/>
  <c r="H65" i="1"/>
  <c r="I65" i="1"/>
  <c r="F140" i="1"/>
  <c r="G140" i="1"/>
  <c r="H137" i="1" s="1"/>
  <c r="H140" i="1"/>
  <c r="I137" i="1" s="1"/>
  <c r="I140" i="1"/>
  <c r="J137" i="1" s="1"/>
  <c r="F69" i="1"/>
  <c r="G69" i="1"/>
  <c r="H69" i="1"/>
  <c r="I69" i="1"/>
  <c r="J69" i="1" s="1"/>
  <c r="K69" i="1" s="1"/>
  <c r="L69" i="1" s="1"/>
  <c r="M69" i="1" s="1"/>
  <c r="N69" i="1" s="1"/>
  <c r="O69" i="1" s="1"/>
  <c r="P69" i="1" s="1"/>
  <c r="Q69" i="1" s="1"/>
  <c r="R69" i="1" s="1"/>
  <c r="S69" i="1" s="1"/>
  <c r="F70" i="1"/>
  <c r="G70" i="1"/>
  <c r="H70" i="1"/>
  <c r="I70" i="1"/>
  <c r="J70" i="1" s="1"/>
  <c r="F71" i="1"/>
  <c r="G71" i="1"/>
  <c r="H71" i="1"/>
  <c r="I71" i="1"/>
  <c r="J71" i="1" s="1"/>
  <c r="K71" i="1" s="1"/>
  <c r="L71" i="1" s="1"/>
  <c r="M71" i="1" s="1"/>
  <c r="N71" i="1" s="1"/>
  <c r="O71" i="1" s="1"/>
  <c r="P71" i="1" s="1"/>
  <c r="Q71" i="1" s="1"/>
  <c r="R71" i="1" s="1"/>
  <c r="S71" i="1" s="1"/>
  <c r="F77" i="1"/>
  <c r="G77" i="1"/>
  <c r="H77" i="1"/>
  <c r="I77" i="1"/>
  <c r="F78" i="1"/>
  <c r="G78" i="1"/>
  <c r="H78" i="1"/>
  <c r="I78" i="1"/>
  <c r="J78" i="1" s="1"/>
  <c r="K78" i="1" s="1"/>
  <c r="L78" i="1" s="1"/>
  <c r="M78" i="1" s="1"/>
  <c r="N78" i="1" s="1"/>
  <c r="O78" i="1" s="1"/>
  <c r="F81" i="1"/>
  <c r="G81" i="1"/>
  <c r="H81" i="1"/>
  <c r="I81" i="1"/>
  <c r="F82" i="1"/>
  <c r="G82" i="1"/>
  <c r="H82" i="1"/>
  <c r="I82" i="1"/>
  <c r="J82" i="1" s="1"/>
  <c r="K82" i="1" s="1"/>
  <c r="L82" i="1" s="1"/>
  <c r="M82" i="1" s="1"/>
  <c r="N82" i="1" s="1"/>
  <c r="O82" i="1" s="1"/>
  <c r="P82" i="1" s="1"/>
  <c r="Q82" i="1" s="1"/>
  <c r="R82" i="1" s="1"/>
  <c r="S82" i="1" s="1"/>
  <c r="F87" i="1"/>
  <c r="G87" i="1"/>
  <c r="H87" i="1"/>
  <c r="I87" i="1"/>
  <c r="J87" i="1" s="1"/>
  <c r="K87" i="1" s="1"/>
  <c r="L87" i="1" s="1"/>
  <c r="M87" i="1" s="1"/>
  <c r="N87" i="1" s="1"/>
  <c r="O87" i="1" s="1"/>
  <c r="P87" i="1" s="1"/>
  <c r="Q87" i="1" s="1"/>
  <c r="R87" i="1" s="1"/>
  <c r="S87" i="1" s="1"/>
  <c r="F88" i="1"/>
  <c r="G88" i="1"/>
  <c r="H88" i="1"/>
  <c r="I88" i="1"/>
  <c r="E88" i="1"/>
  <c r="D46" i="2"/>
  <c r="D48" i="2" s="1"/>
  <c r="E87" i="1"/>
  <c r="E82" i="1"/>
  <c r="E81" i="1"/>
  <c r="E78" i="1"/>
  <c r="E77" i="1"/>
  <c r="E70" i="1"/>
  <c r="E71" i="1"/>
  <c r="E69" i="1"/>
  <c r="F137" i="1"/>
  <c r="E65" i="1"/>
  <c r="E64" i="1"/>
  <c r="E63" i="1"/>
  <c r="E62" i="1"/>
  <c r="F30" i="1"/>
  <c r="G30" i="1"/>
  <c r="H30" i="1"/>
  <c r="I30" i="1"/>
  <c r="F31" i="1"/>
  <c r="G31" i="1"/>
  <c r="H31" i="1"/>
  <c r="I31" i="1"/>
  <c r="F36" i="1"/>
  <c r="G36" i="1"/>
  <c r="H36" i="1"/>
  <c r="I36" i="1"/>
  <c r="F37" i="1"/>
  <c r="G37" i="1"/>
  <c r="H37" i="1"/>
  <c r="I37" i="1"/>
  <c r="F40" i="1"/>
  <c r="G40" i="1"/>
  <c r="H40" i="1"/>
  <c r="I40" i="1"/>
  <c r="F43" i="1"/>
  <c r="F146" i="1" s="1"/>
  <c r="G43" i="1"/>
  <c r="G146" i="1" s="1"/>
  <c r="H43" i="1"/>
  <c r="H146" i="1" s="1"/>
  <c r="I43" i="1"/>
  <c r="I146" i="1" s="1"/>
  <c r="F44" i="1"/>
  <c r="G44" i="1"/>
  <c r="H44" i="1"/>
  <c r="I44" i="1"/>
  <c r="F47" i="1"/>
  <c r="G47" i="1"/>
  <c r="H47" i="1"/>
  <c r="I47" i="1"/>
  <c r="F48" i="1"/>
  <c r="G48" i="1"/>
  <c r="H48" i="1"/>
  <c r="I48" i="1"/>
  <c r="J48" i="1" s="1"/>
  <c r="K48" i="1" s="1"/>
  <c r="L48" i="1" s="1"/>
  <c r="M48" i="1" s="1"/>
  <c r="N48" i="1" s="1"/>
  <c r="O48" i="1" s="1"/>
  <c r="P48" i="1" s="1"/>
  <c r="Q48" i="1" s="1"/>
  <c r="R48" i="1" s="1"/>
  <c r="S48" i="1" s="1"/>
  <c r="E48" i="1"/>
  <c r="E47" i="1"/>
  <c r="E44" i="1"/>
  <c r="E43" i="1"/>
  <c r="E146" i="1" s="1"/>
  <c r="E40" i="1"/>
  <c r="E37" i="1"/>
  <c r="E36" i="1"/>
  <c r="E31" i="1"/>
  <c r="D55" i="3"/>
  <c r="F4" i="1"/>
  <c r="G4" i="1" s="1"/>
  <c r="H4" i="1" s="1"/>
  <c r="I4" i="1" s="1"/>
  <c r="J4" i="1" s="1"/>
  <c r="G137" i="1" l="1"/>
  <c r="G138" i="1" s="1"/>
  <c r="F138" i="1"/>
  <c r="E23" i="1"/>
  <c r="E18" i="11"/>
  <c r="F6" i="5"/>
  <c r="E160" i="1"/>
  <c r="I31" i="11"/>
  <c r="I29" i="11"/>
  <c r="H31" i="11"/>
  <c r="H29" i="11"/>
  <c r="H18" i="11"/>
  <c r="H33" i="11"/>
  <c r="H27" i="11"/>
  <c r="E24" i="1"/>
  <c r="E25" i="1"/>
  <c r="F33" i="11"/>
  <c r="F27" i="11"/>
  <c r="I18" i="11"/>
  <c r="G31" i="11"/>
  <c r="G29" i="11"/>
  <c r="G18" i="11"/>
  <c r="F31" i="11"/>
  <c r="F29" i="11"/>
  <c r="F18" i="11"/>
  <c r="I33" i="11"/>
  <c r="I27" i="11"/>
  <c r="P78" i="1"/>
  <c r="G33" i="11"/>
  <c r="G27" i="11"/>
  <c r="P20" i="6"/>
  <c r="P18" i="6"/>
  <c r="D25" i="6" s="1"/>
  <c r="E25" i="6" s="1"/>
  <c r="P17" i="6"/>
  <c r="E19" i="11" a="1"/>
  <c r="E19" i="11" s="1"/>
  <c r="I145" i="1"/>
  <c r="C184" i="1" s="1"/>
  <c r="H183" i="1" s="1"/>
  <c r="H145" i="1"/>
  <c r="I143" i="1" s="1"/>
  <c r="I17" i="1" s="1"/>
  <c r="H19" i="11" a="1"/>
  <c r="H19" i="11" s="1"/>
  <c r="G145" i="1"/>
  <c r="H143" i="1" s="1"/>
  <c r="H17" i="1" s="1"/>
  <c r="G19" i="11" a="1"/>
  <c r="G19" i="11" s="1"/>
  <c r="E145" i="1"/>
  <c r="F143" i="1" s="1"/>
  <c r="F17" i="1" s="1"/>
  <c r="E22" i="1"/>
  <c r="I19" i="11" a="1"/>
  <c r="I19" i="11" s="1"/>
  <c r="F145" i="1"/>
  <c r="G143" i="1" s="1"/>
  <c r="G17" i="1" s="1"/>
  <c r="F19" i="11" a="1"/>
  <c r="F19" i="11" s="1"/>
  <c r="C182" i="1"/>
  <c r="H182" i="1" s="1"/>
  <c r="F18" i="1"/>
  <c r="J123" i="1"/>
  <c r="C183" i="1"/>
  <c r="E19" i="1"/>
  <c r="I22" i="1"/>
  <c r="G25" i="1"/>
  <c r="E84" i="1"/>
  <c r="F23" i="1"/>
  <c r="F30" i="11" s="1"/>
  <c r="H25" i="1"/>
  <c r="H16" i="1"/>
  <c r="G24" i="1"/>
  <c r="G32" i="11" s="1"/>
  <c r="F15" i="1"/>
  <c r="I18" i="1"/>
  <c r="G15" i="1"/>
  <c r="I19" i="1"/>
  <c r="I13" i="1"/>
  <c r="I15" i="1"/>
  <c r="H15" i="1"/>
  <c r="G18" i="1"/>
  <c r="H19" i="1"/>
  <c r="H13" i="1"/>
  <c r="I25" i="1"/>
  <c r="H18" i="1"/>
  <c r="F24" i="1"/>
  <c r="F32" i="11" s="1"/>
  <c r="F13" i="1"/>
  <c r="I14" i="1"/>
  <c r="H14" i="1"/>
  <c r="I12" i="1"/>
  <c r="G14" i="1"/>
  <c r="G19" i="1"/>
  <c r="G13" i="1"/>
  <c r="G22" i="1"/>
  <c r="G12" i="1"/>
  <c r="E15" i="1"/>
  <c r="F19" i="1"/>
  <c r="F22" i="1"/>
  <c r="F28" i="11" s="1"/>
  <c r="H12" i="1"/>
  <c r="I24" i="1"/>
  <c r="I32" i="11" s="1"/>
  <c r="F14" i="1"/>
  <c r="E13" i="1"/>
  <c r="E14" i="1"/>
  <c r="E18" i="1"/>
  <c r="H24" i="1"/>
  <c r="H32" i="11" s="1"/>
  <c r="I23" i="1"/>
  <c r="I30" i="11" s="1"/>
  <c r="H23" i="1"/>
  <c r="H30" i="11" s="1"/>
  <c r="G23" i="1"/>
  <c r="G30" i="11" s="1"/>
  <c r="F12" i="1"/>
  <c r="H22" i="1"/>
  <c r="O10" i="6"/>
  <c r="O15" i="6"/>
  <c r="O13" i="6"/>
  <c r="D20" i="6"/>
  <c r="E10" i="8"/>
  <c r="E21" i="8" s="1"/>
  <c r="D33" i="8" s="1"/>
  <c r="E15" i="6"/>
  <c r="Q18" i="6"/>
  <c r="E14" i="6"/>
  <c r="G14" i="8"/>
  <c r="G11" i="8"/>
  <c r="H19" i="8"/>
  <c r="H18" i="8"/>
  <c r="F13" i="8"/>
  <c r="J13" i="8" s="1"/>
  <c r="G13" i="8"/>
  <c r="F12" i="8"/>
  <c r="J12" i="8" s="1"/>
  <c r="G12" i="8"/>
  <c r="Q17" i="6"/>
  <c r="D26" i="6" s="1"/>
  <c r="G26" i="6" s="1"/>
  <c r="E9" i="6"/>
  <c r="D16" i="8"/>
  <c r="F16" i="8" s="1"/>
  <c r="J16" i="8" s="1"/>
  <c r="D10" i="8"/>
  <c r="D21" i="8" s="1"/>
  <c r="D32" i="8" s="1"/>
  <c r="F14" i="8"/>
  <c r="J14" i="8" s="1"/>
  <c r="E12" i="6"/>
  <c r="O12" i="6"/>
  <c r="D15" i="8"/>
  <c r="F15" i="8" s="1"/>
  <c r="J15" i="8" s="1"/>
  <c r="F11" i="8"/>
  <c r="J11" i="8" s="1"/>
  <c r="E11" i="6"/>
  <c r="F20" i="6"/>
  <c r="E13" i="6"/>
  <c r="E10" i="6"/>
  <c r="Q20" i="6"/>
  <c r="K4" i="1"/>
  <c r="G6" i="5" s="1"/>
  <c r="I138" i="1"/>
  <c r="H138" i="1"/>
  <c r="J108" i="1"/>
  <c r="K70" i="1"/>
  <c r="J65" i="1"/>
  <c r="J133" i="1" s="1"/>
  <c r="I16" i="1"/>
  <c r="F16" i="1"/>
  <c r="F25" i="1"/>
  <c r="O9" i="6"/>
  <c r="O11" i="6"/>
  <c r="O14" i="6"/>
  <c r="F24" i="6"/>
  <c r="F25" i="6" s="1"/>
  <c r="F26" i="6" s="1"/>
  <c r="M62" i="1"/>
  <c r="I120" i="1"/>
  <c r="H112" i="1"/>
  <c r="H120" i="1"/>
  <c r="E134" i="1"/>
  <c r="E102" i="1" s="1"/>
  <c r="E104" i="1" s="1"/>
  <c r="G112" i="1"/>
  <c r="G120" i="1"/>
  <c r="F112" i="1"/>
  <c r="F120" i="1"/>
  <c r="G134" i="1"/>
  <c r="G102" i="1" s="1"/>
  <c r="G104" i="1" s="1"/>
  <c r="I112" i="1"/>
  <c r="F134" i="1"/>
  <c r="F102" i="1" s="1"/>
  <c r="F104" i="1" s="1"/>
  <c r="E112" i="1"/>
  <c r="I134" i="1"/>
  <c r="I102" i="1" s="1"/>
  <c r="I104" i="1" s="1"/>
  <c r="H134" i="1"/>
  <c r="H102" i="1" s="1"/>
  <c r="H104" i="1" s="1"/>
  <c r="I89" i="1"/>
  <c r="I24" i="11" s="1"/>
  <c r="H89" i="1"/>
  <c r="H24" i="11" s="1"/>
  <c r="G89" i="1"/>
  <c r="G24" i="11" s="1"/>
  <c r="E120" i="1"/>
  <c r="F89" i="1"/>
  <c r="F24" i="11" s="1"/>
  <c r="H73" i="1"/>
  <c r="E89" i="1"/>
  <c r="E24" i="11" s="1"/>
  <c r="I73" i="1"/>
  <c r="G73" i="1"/>
  <c r="H84" i="1"/>
  <c r="G84" i="1"/>
  <c r="F73" i="1"/>
  <c r="I84" i="1"/>
  <c r="F84" i="1"/>
  <c r="E73" i="1"/>
  <c r="I33" i="1"/>
  <c r="H33" i="1"/>
  <c r="G33" i="1"/>
  <c r="F33" i="1"/>
  <c r="E33" i="1"/>
  <c r="G16" i="1" l="1"/>
  <c r="P16" i="1" s="1"/>
  <c r="G15" i="11"/>
  <c r="I92" i="1"/>
  <c r="I94" i="1" s="1"/>
  <c r="I5" i="1" s="1"/>
  <c r="H15" i="11"/>
  <c r="I15" i="11"/>
  <c r="F15" i="11"/>
  <c r="Q78" i="1"/>
  <c r="O23" i="1"/>
  <c r="O30" i="11" s="1"/>
  <c r="S23" i="1"/>
  <c r="S30" i="11" s="1"/>
  <c r="P22" i="1"/>
  <c r="Q22" i="1"/>
  <c r="R22" i="1"/>
  <c r="S22" i="1"/>
  <c r="O22" i="1"/>
  <c r="R23" i="1"/>
  <c r="R30" i="11" s="1"/>
  <c r="R18" i="1"/>
  <c r="P18" i="1"/>
  <c r="Q18" i="1"/>
  <c r="S18" i="1"/>
  <c r="O18" i="1"/>
  <c r="O17" i="1"/>
  <c r="P17" i="1"/>
  <c r="Q17" i="1"/>
  <c r="R17" i="1"/>
  <c r="S17" i="1"/>
  <c r="O14" i="1"/>
  <c r="P14" i="1"/>
  <c r="Q14" i="1"/>
  <c r="R14" i="1"/>
  <c r="S14" i="1"/>
  <c r="S13" i="1"/>
  <c r="Q13" i="1"/>
  <c r="O13" i="1"/>
  <c r="P13" i="1"/>
  <c r="R13" i="1"/>
  <c r="O24" i="1"/>
  <c r="O32" i="11" s="1"/>
  <c r="P24" i="1"/>
  <c r="P32" i="11" s="1"/>
  <c r="Q24" i="1"/>
  <c r="Q32" i="11" s="1"/>
  <c r="R24" i="1"/>
  <c r="R32" i="11" s="1"/>
  <c r="S24" i="1"/>
  <c r="S32" i="11" s="1"/>
  <c r="O15" i="1"/>
  <c r="Q15" i="1"/>
  <c r="R15" i="1"/>
  <c r="P15" i="1"/>
  <c r="S15" i="1"/>
  <c r="P23" i="1"/>
  <c r="P30" i="11" s="1"/>
  <c r="E92" i="1"/>
  <c r="E94" i="1" s="1"/>
  <c r="E5" i="1" s="1"/>
  <c r="Q23" i="1"/>
  <c r="Q30" i="11" s="1"/>
  <c r="Q16" i="1"/>
  <c r="O19" i="1"/>
  <c r="P19" i="1"/>
  <c r="Q19" i="1"/>
  <c r="R19" i="1"/>
  <c r="S19" i="1"/>
  <c r="D34" i="8"/>
  <c r="C154" i="1"/>
  <c r="E23" i="11"/>
  <c r="F144" i="1"/>
  <c r="G23" i="11"/>
  <c r="E39" i="1"/>
  <c r="E7" i="11"/>
  <c r="I23" i="11"/>
  <c r="F39" i="1"/>
  <c r="F7" i="11"/>
  <c r="H39" i="1"/>
  <c r="H7" i="11"/>
  <c r="I39" i="1"/>
  <c r="I7" i="11"/>
  <c r="H20" i="11"/>
  <c r="H28" i="11"/>
  <c r="I20" i="11"/>
  <c r="I28" i="11"/>
  <c r="F20" i="11"/>
  <c r="F23" i="11"/>
  <c r="J25" i="1"/>
  <c r="J143" i="1"/>
  <c r="J145" i="1" s="1"/>
  <c r="K143" i="1" s="1"/>
  <c r="E20" i="11"/>
  <c r="G28" i="11"/>
  <c r="G20" i="11"/>
  <c r="G39" i="1"/>
  <c r="G7" i="11"/>
  <c r="H23" i="11"/>
  <c r="G122" i="1"/>
  <c r="G125" i="1" s="1"/>
  <c r="J14" i="1"/>
  <c r="M15" i="1"/>
  <c r="K15" i="1"/>
  <c r="I122" i="1"/>
  <c r="I125" i="1" s="1"/>
  <c r="H144" i="1"/>
  <c r="G144" i="1"/>
  <c r="J22" i="1"/>
  <c r="N15" i="1"/>
  <c r="K13" i="1"/>
  <c r="J15" i="1"/>
  <c r="J18" i="1"/>
  <c r="L13" i="1"/>
  <c r="K14" i="1"/>
  <c r="J13" i="1"/>
  <c r="M19" i="1"/>
  <c r="N18" i="1"/>
  <c r="L15" i="1"/>
  <c r="N14" i="1"/>
  <c r="L14" i="1"/>
  <c r="M13" i="1"/>
  <c r="M18" i="1"/>
  <c r="M14" i="1"/>
  <c r="L18" i="1"/>
  <c r="N13" i="1"/>
  <c r="K18" i="1"/>
  <c r="J19" i="1"/>
  <c r="K19" i="1"/>
  <c r="N22" i="1"/>
  <c r="L19" i="1"/>
  <c r="D8" i="5"/>
  <c r="L22" i="1"/>
  <c r="L23" i="1"/>
  <c r="L30" i="11" s="1"/>
  <c r="M22" i="1"/>
  <c r="K22" i="1"/>
  <c r="D9" i="5"/>
  <c r="D27" i="13" s="1"/>
  <c r="D10" i="5"/>
  <c r="N19" i="1"/>
  <c r="K23" i="1"/>
  <c r="K30" i="11" s="1"/>
  <c r="J17" i="1"/>
  <c r="J23" i="1"/>
  <c r="J30" i="11" s="1"/>
  <c r="M17" i="1"/>
  <c r="N23" i="1"/>
  <c r="N30" i="11" s="1"/>
  <c r="M23" i="1"/>
  <c r="M30" i="11" s="1"/>
  <c r="G25" i="6"/>
  <c r="G16" i="8"/>
  <c r="G10" i="8"/>
  <c r="G15" i="8"/>
  <c r="F10" i="8"/>
  <c r="E20" i="6"/>
  <c r="H24" i="6" s="1"/>
  <c r="H25" i="6" s="1"/>
  <c r="H26" i="6" s="1"/>
  <c r="I26" i="6" s="1"/>
  <c r="C157" i="1"/>
  <c r="H188" i="1" s="1"/>
  <c r="M181" i="1" s="1"/>
  <c r="L4" i="1"/>
  <c r="F160" i="1"/>
  <c r="L70" i="1"/>
  <c r="L108" i="1" s="1"/>
  <c r="I144" i="1"/>
  <c r="N17" i="1"/>
  <c r="L17" i="1"/>
  <c r="K17" i="1"/>
  <c r="M24" i="1"/>
  <c r="M32" i="11" s="1"/>
  <c r="J24" i="1"/>
  <c r="J32" i="11" s="1"/>
  <c r="K24" i="1"/>
  <c r="K32" i="11" s="1"/>
  <c r="L24" i="1"/>
  <c r="L32" i="11" s="1"/>
  <c r="N24" i="1"/>
  <c r="N32" i="11" s="1"/>
  <c r="F122" i="1"/>
  <c r="F125" i="1" s="1"/>
  <c r="K65" i="1"/>
  <c r="K133" i="1" s="1"/>
  <c r="K108" i="1"/>
  <c r="E26" i="6"/>
  <c r="O18" i="6"/>
  <c r="O20" i="6"/>
  <c r="O17" i="6"/>
  <c r="D24" i="6" s="1"/>
  <c r="E24" i="6" s="1"/>
  <c r="G24" i="6" s="1"/>
  <c r="N62" i="1"/>
  <c r="O62" i="1" s="1"/>
  <c r="P62" i="1" s="1"/>
  <c r="Q62" i="1" s="1"/>
  <c r="R62" i="1" s="1"/>
  <c r="S62" i="1" s="1"/>
  <c r="H122" i="1"/>
  <c r="H125" i="1" s="1"/>
  <c r="H92" i="1"/>
  <c r="H94" i="1" s="1"/>
  <c r="H5" i="1" s="1"/>
  <c r="E122" i="1"/>
  <c r="E125" i="1" s="1"/>
  <c r="G92" i="1"/>
  <c r="G94" i="1" s="1"/>
  <c r="G5" i="1" s="1"/>
  <c r="F92" i="1"/>
  <c r="F94" i="1" s="1"/>
  <c r="F5" i="1" s="1"/>
  <c r="K16" i="1" l="1"/>
  <c r="L16" i="1"/>
  <c r="J16" i="1"/>
  <c r="N16" i="1"/>
  <c r="O16" i="1"/>
  <c r="R16" i="1"/>
  <c r="S16" i="1"/>
  <c r="M16" i="1"/>
  <c r="J146" i="1"/>
  <c r="J43" i="1" s="1"/>
  <c r="I24" i="6"/>
  <c r="S20" i="11"/>
  <c r="S28" i="11"/>
  <c r="R20" i="11"/>
  <c r="R28" i="11"/>
  <c r="Q20" i="11"/>
  <c r="Q28" i="11"/>
  <c r="P20" i="11"/>
  <c r="P28" i="11"/>
  <c r="F8" i="5"/>
  <c r="G8" i="5" s="1"/>
  <c r="H8" i="5" s="1"/>
  <c r="I8" i="5" s="1"/>
  <c r="J8" i="5" s="1"/>
  <c r="K8" i="5" s="1"/>
  <c r="L8" i="5" s="1"/>
  <c r="M8" i="5" s="1"/>
  <c r="N8" i="5" s="1"/>
  <c r="O8" i="5" s="1"/>
  <c r="D25" i="13"/>
  <c r="D26" i="13" s="1"/>
  <c r="R78" i="1"/>
  <c r="O28" i="11"/>
  <c r="O20" i="11"/>
  <c r="L28" i="11"/>
  <c r="L20" i="11"/>
  <c r="J28" i="11"/>
  <c r="J20" i="11"/>
  <c r="N28" i="11"/>
  <c r="N20" i="11"/>
  <c r="H42" i="1"/>
  <c r="H8" i="11"/>
  <c r="K25" i="1"/>
  <c r="F42" i="1"/>
  <c r="F8" i="11"/>
  <c r="I42" i="1"/>
  <c r="I8" i="11"/>
  <c r="J81" i="1"/>
  <c r="K28" i="11"/>
  <c r="K20" i="11"/>
  <c r="M28" i="11"/>
  <c r="M20" i="11"/>
  <c r="E42" i="1"/>
  <c r="E8" i="11"/>
  <c r="G42" i="1"/>
  <c r="G8" i="11"/>
  <c r="G19" i="8"/>
  <c r="G21" i="8"/>
  <c r="G18" i="8"/>
  <c r="D27" i="8" s="1"/>
  <c r="D28" i="8" s="1"/>
  <c r="F19" i="8"/>
  <c r="J10" i="8"/>
  <c r="F18" i="8"/>
  <c r="F21" i="8"/>
  <c r="I25" i="6"/>
  <c r="M4" i="1"/>
  <c r="G160" i="1"/>
  <c r="H6" i="5"/>
  <c r="K146" i="1"/>
  <c r="K145" i="1"/>
  <c r="M70" i="1"/>
  <c r="L65" i="1"/>
  <c r="L133" i="1" s="1"/>
  <c r="H77" i="4"/>
  <c r="G77" i="4"/>
  <c r="F77" i="4"/>
  <c r="E77" i="4"/>
  <c r="D77" i="4"/>
  <c r="H63" i="4"/>
  <c r="G63" i="4"/>
  <c r="F63" i="4"/>
  <c r="E63" i="4"/>
  <c r="D63" i="4"/>
  <c r="H33" i="4"/>
  <c r="H44" i="4" s="1"/>
  <c r="H46" i="4" s="1"/>
  <c r="G33" i="4"/>
  <c r="G44" i="4" s="1"/>
  <c r="G46" i="4" s="1"/>
  <c r="F33" i="4"/>
  <c r="F44" i="4" s="1"/>
  <c r="F46" i="4" s="1"/>
  <c r="E33" i="4"/>
  <c r="E44" i="4" s="1"/>
  <c r="E46" i="4" s="1"/>
  <c r="D44" i="4"/>
  <c r="D46" i="4" s="1"/>
  <c r="E6" i="4"/>
  <c r="F6" i="4" s="1"/>
  <c r="G6" i="4" s="1"/>
  <c r="H6" i="4" s="1"/>
  <c r="H55" i="3"/>
  <c r="G55" i="3"/>
  <c r="F55" i="3"/>
  <c r="E55" i="3"/>
  <c r="H38" i="3"/>
  <c r="I51" i="1" s="1"/>
  <c r="G38" i="3"/>
  <c r="H51" i="1" s="1"/>
  <c r="F38" i="3"/>
  <c r="G51" i="1" s="1"/>
  <c r="E38" i="3"/>
  <c r="F51" i="1" s="1"/>
  <c r="D38" i="3"/>
  <c r="E51" i="1" s="1"/>
  <c r="H22" i="3"/>
  <c r="G22" i="3"/>
  <c r="F22" i="3"/>
  <c r="E22" i="3"/>
  <c r="D22" i="3"/>
  <c r="H14" i="3"/>
  <c r="G14" i="3"/>
  <c r="F14" i="3"/>
  <c r="E14" i="3"/>
  <c r="D14" i="3"/>
  <c r="E6" i="3"/>
  <c r="F6" i="3" s="1"/>
  <c r="G6" i="3" s="1"/>
  <c r="H6" i="3" s="1"/>
  <c r="H72" i="2"/>
  <c r="G72" i="2"/>
  <c r="F72" i="2"/>
  <c r="E72" i="2"/>
  <c r="D72" i="2"/>
  <c r="H59" i="2"/>
  <c r="G59" i="2"/>
  <c r="F59" i="2"/>
  <c r="E59" i="2"/>
  <c r="D59" i="2"/>
  <c r="H46" i="2"/>
  <c r="H48" i="2" s="1"/>
  <c r="G46" i="2"/>
  <c r="G48" i="2" s="1"/>
  <c r="F46" i="2"/>
  <c r="F48" i="2" s="1"/>
  <c r="E46" i="2"/>
  <c r="E48" i="2" s="1"/>
  <c r="H38" i="2"/>
  <c r="G38" i="2"/>
  <c r="F38" i="2"/>
  <c r="E38" i="2"/>
  <c r="D38" i="2"/>
  <c r="H25" i="2"/>
  <c r="G25" i="2"/>
  <c r="F25" i="2"/>
  <c r="E25" i="2"/>
  <c r="D25" i="2"/>
  <c r="E6" i="2"/>
  <c r="F6" i="2" s="1"/>
  <c r="G6" i="2" s="1"/>
  <c r="H6" i="2" s="1"/>
  <c r="J139" i="1" l="1"/>
  <c r="J40" i="1" s="1"/>
  <c r="J117" i="1"/>
  <c r="D74" i="2"/>
  <c r="S78" i="1"/>
  <c r="J12" i="1" a="1"/>
  <c r="J12" i="1" s="1"/>
  <c r="E46" i="1"/>
  <c r="E50" i="1" s="1"/>
  <c r="E20" i="1" s="1"/>
  <c r="E9" i="11"/>
  <c r="F46" i="1"/>
  <c r="F50" i="1" s="1"/>
  <c r="F10" i="11" s="1"/>
  <c r="F9" i="11"/>
  <c r="G46" i="1"/>
  <c r="G50" i="1" s="1"/>
  <c r="G10" i="11" s="1"/>
  <c r="G9" i="11"/>
  <c r="L25" i="1"/>
  <c r="H46" i="1"/>
  <c r="H50" i="1" s="1"/>
  <c r="H10" i="11" s="1"/>
  <c r="H9" i="11"/>
  <c r="I46" i="1"/>
  <c r="I50" i="1" s="1"/>
  <c r="I10" i="11" s="1"/>
  <c r="I9" i="11"/>
  <c r="D24" i="3"/>
  <c r="D28" i="3" s="1"/>
  <c r="D30" i="3" s="1"/>
  <c r="D33" i="3" s="1"/>
  <c r="D39" i="3" s="1"/>
  <c r="D57" i="3" s="1"/>
  <c r="E24" i="3"/>
  <c r="E28" i="3" s="1"/>
  <c r="E30" i="3" s="1"/>
  <c r="E33" i="3" s="1"/>
  <c r="E39" i="3" s="1"/>
  <c r="E57" i="3" s="1"/>
  <c r="G74" i="2"/>
  <c r="D40" i="2"/>
  <c r="F74" i="2"/>
  <c r="E40" i="2"/>
  <c r="F40" i="2"/>
  <c r="G40" i="2"/>
  <c r="H40" i="2"/>
  <c r="H74" i="2"/>
  <c r="E74" i="2"/>
  <c r="F24" i="3"/>
  <c r="F28" i="3" s="1"/>
  <c r="F30" i="3" s="1"/>
  <c r="F33" i="3" s="1"/>
  <c r="F39" i="3" s="1"/>
  <c r="F57" i="3" s="1"/>
  <c r="G24" i="3"/>
  <c r="G28" i="3" s="1"/>
  <c r="G30" i="3" s="1"/>
  <c r="G33" i="3" s="1"/>
  <c r="G39" i="3" s="1"/>
  <c r="G57" i="3" s="1"/>
  <c r="H24" i="3"/>
  <c r="H28" i="3" s="1"/>
  <c r="H30" i="3" s="1"/>
  <c r="H33" i="3" s="1"/>
  <c r="H39" i="3" s="1"/>
  <c r="H57" i="3" s="1"/>
  <c r="J21" i="8"/>
  <c r="J18" i="8"/>
  <c r="J19" i="8"/>
  <c r="N4" i="1"/>
  <c r="O4" i="1" s="1"/>
  <c r="H160" i="1"/>
  <c r="I6" i="5"/>
  <c r="M65" i="1"/>
  <c r="N65" i="1" s="1"/>
  <c r="N70" i="1"/>
  <c r="L143" i="1"/>
  <c r="K81" i="1"/>
  <c r="M108" i="1"/>
  <c r="K117" i="1"/>
  <c r="K43" i="1"/>
  <c r="D79" i="4"/>
  <c r="D83" i="4" s="1"/>
  <c r="E79" i="4"/>
  <c r="E83" i="4" s="1"/>
  <c r="F79" i="4"/>
  <c r="F83" i="4" s="1"/>
  <c r="G79" i="4"/>
  <c r="G83" i="4" s="1"/>
  <c r="H79" i="4"/>
  <c r="H83" i="4" s="1"/>
  <c r="J100" i="1" l="1"/>
  <c r="E167" i="1" s="1"/>
  <c r="G11" i="11"/>
  <c r="G53" i="1"/>
  <c r="G55" i="1" s="1"/>
  <c r="G21" i="1" s="1"/>
  <c r="F76" i="2"/>
  <c r="G20" i="1"/>
  <c r="H34" i="11" s="1"/>
  <c r="D76" i="2"/>
  <c r="H76" i="2"/>
  <c r="F34" i="11"/>
  <c r="N133" i="1"/>
  <c r="O65" i="1"/>
  <c r="O133" i="1" s="1"/>
  <c r="P4" i="1"/>
  <c r="J160" i="1"/>
  <c r="K6" i="5"/>
  <c r="E10" i="11"/>
  <c r="E53" i="1"/>
  <c r="E55" i="1" s="1"/>
  <c r="F11" i="11"/>
  <c r="N108" i="1"/>
  <c r="O70" i="1"/>
  <c r="O108" i="1" s="1"/>
  <c r="I53" i="1"/>
  <c r="I11" i="11"/>
  <c r="F20" i="1"/>
  <c r="G34" i="11" s="1"/>
  <c r="F53" i="1"/>
  <c r="E11" i="11"/>
  <c r="H20" i="1"/>
  <c r="I34" i="11" s="1"/>
  <c r="H53" i="1"/>
  <c r="H11" i="11"/>
  <c r="I20" i="1"/>
  <c r="M25" i="1"/>
  <c r="G76" i="2"/>
  <c r="E76" i="2"/>
  <c r="M133" i="1"/>
  <c r="J6" i="5"/>
  <c r="I160" i="1"/>
  <c r="L145" i="1"/>
  <c r="L146" i="1"/>
  <c r="G12" i="11" l="1"/>
  <c r="Q4" i="1"/>
  <c r="K160" i="1"/>
  <c r="L6" i="5"/>
  <c r="P65" i="1"/>
  <c r="P133" i="1" s="1"/>
  <c r="P70" i="1"/>
  <c r="P108" i="1" s="1"/>
  <c r="S20" i="1"/>
  <c r="R20" i="1"/>
  <c r="Q20" i="1"/>
  <c r="P20" i="1"/>
  <c r="O20" i="1"/>
  <c r="J20" i="1"/>
  <c r="D39" i="8" s="1"/>
  <c r="E21" i="1"/>
  <c r="H55" i="1"/>
  <c r="H21" i="1" s="1"/>
  <c r="F55" i="1"/>
  <c r="F21" i="1" s="1"/>
  <c r="I55" i="1"/>
  <c r="I21" i="1" s="1"/>
  <c r="F12" i="11"/>
  <c r="H12" i="11"/>
  <c r="E12" i="11"/>
  <c r="I12" i="11"/>
  <c r="N20" i="1"/>
  <c r="L20" i="1"/>
  <c r="M20" i="1"/>
  <c r="K20" i="1"/>
  <c r="N25" i="1"/>
  <c r="O25" i="1" s="1"/>
  <c r="P25" i="1" s="1"/>
  <c r="Q25" i="1" s="1"/>
  <c r="R25" i="1" s="1"/>
  <c r="S25" i="1" s="1"/>
  <c r="L43" i="1"/>
  <c r="L117" i="1"/>
  <c r="M143" i="1"/>
  <c r="L81" i="1"/>
  <c r="O21" i="1" l="1"/>
  <c r="S21" i="1"/>
  <c r="P21" i="1"/>
  <c r="Q21" i="1"/>
  <c r="R21" i="1"/>
  <c r="C153" i="1"/>
  <c r="D31" i="13"/>
  <c r="N21" i="1"/>
  <c r="Q70" i="1"/>
  <c r="Q108" i="1" s="1"/>
  <c r="Q65" i="1"/>
  <c r="Q133" i="1" s="1"/>
  <c r="R4" i="1"/>
  <c r="L160" i="1"/>
  <c r="M6" i="5"/>
  <c r="D47" i="8"/>
  <c r="D48" i="8" s="1"/>
  <c r="D40" i="8"/>
  <c r="M21" i="1"/>
  <c r="L21" i="1"/>
  <c r="J21" i="1"/>
  <c r="K21" i="1"/>
  <c r="J30" i="1"/>
  <c r="M145" i="1"/>
  <c r="M146" i="1"/>
  <c r="R65" i="1" l="1"/>
  <c r="R133" i="1" s="1"/>
  <c r="R70" i="1"/>
  <c r="M160" i="1"/>
  <c r="N6" i="5"/>
  <c r="S4" i="1"/>
  <c r="D50" i="8"/>
  <c r="J37" i="1"/>
  <c r="J44" i="1"/>
  <c r="J63" i="1"/>
  <c r="J27" i="11" s="1"/>
  <c r="J36" i="1"/>
  <c r="K30" i="1"/>
  <c r="J47" i="1"/>
  <c r="J31" i="1"/>
  <c r="J138" i="1"/>
  <c r="M43" i="1"/>
  <c r="M117" i="1"/>
  <c r="N143" i="1"/>
  <c r="M81" i="1"/>
  <c r="N160" i="1" l="1"/>
  <c r="O6" i="5"/>
  <c r="S70" i="1"/>
  <c r="S108" i="1" s="1"/>
  <c r="R108" i="1"/>
  <c r="S65" i="1"/>
  <c r="S133" i="1" s="1"/>
  <c r="C156" i="1"/>
  <c r="N174" i="1" s="1"/>
  <c r="D33" i="13"/>
  <c r="J33" i="1"/>
  <c r="J7" i="11" s="1"/>
  <c r="J64" i="1"/>
  <c r="J29" i="11" s="1"/>
  <c r="J77" i="1"/>
  <c r="J31" i="11" s="1"/>
  <c r="K63" i="1"/>
  <c r="K130" i="1" s="1"/>
  <c r="K44" i="1"/>
  <c r="L30" i="1"/>
  <c r="K31" i="1"/>
  <c r="K37" i="1"/>
  <c r="K36" i="1"/>
  <c r="K47" i="1"/>
  <c r="K138" i="1"/>
  <c r="J130" i="1"/>
  <c r="E168" i="1"/>
  <c r="J107" i="1"/>
  <c r="J140" i="1"/>
  <c r="J109" i="1"/>
  <c r="J101" i="1"/>
  <c r="N145" i="1"/>
  <c r="N146" i="1"/>
  <c r="N81" i="1" l="1"/>
  <c r="O143" i="1"/>
  <c r="K174" i="1"/>
  <c r="L174" i="1"/>
  <c r="M174" i="1"/>
  <c r="J174" i="1"/>
  <c r="G174" i="1"/>
  <c r="E174" i="1"/>
  <c r="I174" i="1"/>
  <c r="F174" i="1"/>
  <c r="H174" i="1"/>
  <c r="K27" i="11"/>
  <c r="J39" i="1"/>
  <c r="J42" i="1" s="1"/>
  <c r="K33" i="1"/>
  <c r="K7" i="11" s="1"/>
  <c r="K107" i="1"/>
  <c r="F168" i="1"/>
  <c r="K64" i="1"/>
  <c r="K131" i="1" s="1"/>
  <c r="K77" i="1"/>
  <c r="K31" i="11" s="1"/>
  <c r="K137" i="1"/>
  <c r="J68" i="1"/>
  <c r="L37" i="1"/>
  <c r="L138" i="1"/>
  <c r="L36" i="1"/>
  <c r="L47" i="1"/>
  <c r="L63" i="1"/>
  <c r="L27" i="11" s="1"/>
  <c r="L44" i="1"/>
  <c r="M30" i="1"/>
  <c r="L31" i="1"/>
  <c r="J112" i="1"/>
  <c r="K109" i="1"/>
  <c r="K101" i="1"/>
  <c r="J132" i="1"/>
  <c r="J84" i="1"/>
  <c r="J131" i="1"/>
  <c r="N117" i="1"/>
  <c r="N43" i="1"/>
  <c r="K29" i="11" l="1"/>
  <c r="E163" i="1"/>
  <c r="E164" i="1" s="1"/>
  <c r="E166" i="1" s="1"/>
  <c r="O146" i="1"/>
  <c r="O145" i="1"/>
  <c r="J33" i="11"/>
  <c r="J8" i="11"/>
  <c r="K39" i="1"/>
  <c r="K8" i="11" s="1"/>
  <c r="J46" i="1"/>
  <c r="J50" i="1" s="1"/>
  <c r="J9" i="11"/>
  <c r="J134" i="1"/>
  <c r="E169" i="1" s="1"/>
  <c r="K139" i="1"/>
  <c r="K140" i="1" s="1"/>
  <c r="K132" i="1"/>
  <c r="K134" i="1" s="1"/>
  <c r="K84" i="1"/>
  <c r="L33" i="1"/>
  <c r="L77" i="1"/>
  <c r="L31" i="11" s="1"/>
  <c r="L64" i="1"/>
  <c r="L29" i="11" s="1"/>
  <c r="L130" i="1"/>
  <c r="M37" i="1"/>
  <c r="M36" i="1"/>
  <c r="M138" i="1"/>
  <c r="M31" i="1"/>
  <c r="N30" i="1"/>
  <c r="M63" i="1"/>
  <c r="M130" i="1" s="1"/>
  <c r="M44" i="1"/>
  <c r="M47" i="1"/>
  <c r="K112" i="1"/>
  <c r="L109" i="1"/>
  <c r="L101" i="1"/>
  <c r="L107" i="1"/>
  <c r="G168" i="1"/>
  <c r="P143" i="1" l="1"/>
  <c r="O81" i="1"/>
  <c r="O117" i="1"/>
  <c r="O43" i="1"/>
  <c r="O30" i="1"/>
  <c r="M27" i="11"/>
  <c r="L39" i="1"/>
  <c r="L8" i="11" s="1"/>
  <c r="L7" i="11"/>
  <c r="M33" i="1"/>
  <c r="M7" i="11" s="1"/>
  <c r="J51" i="1"/>
  <c r="J10" i="11"/>
  <c r="J102" i="1"/>
  <c r="K102" i="1"/>
  <c r="F169" i="1"/>
  <c r="L131" i="1"/>
  <c r="L132" i="1"/>
  <c r="L84" i="1"/>
  <c r="M109" i="1"/>
  <c r="M101" i="1"/>
  <c r="L112" i="1"/>
  <c r="N47" i="1"/>
  <c r="N63" i="1"/>
  <c r="N27" i="11" s="1"/>
  <c r="N44" i="1"/>
  <c r="N138" i="1"/>
  <c r="N37" i="1"/>
  <c r="N36" i="1"/>
  <c r="N31" i="1"/>
  <c r="N33" i="1" s="1"/>
  <c r="N7" i="11" s="1"/>
  <c r="L137" i="1"/>
  <c r="K68" i="1"/>
  <c r="M77" i="1"/>
  <c r="M31" i="11" s="1"/>
  <c r="M64" i="1"/>
  <c r="M131" i="1" s="1"/>
  <c r="K100" i="1"/>
  <c r="F167" i="1" s="1"/>
  <c r="K40" i="1"/>
  <c r="K42" i="1" s="1"/>
  <c r="M107" i="1"/>
  <c r="H168" i="1"/>
  <c r="E171" i="1"/>
  <c r="E176" i="1" s="1"/>
  <c r="M29" i="11" l="1"/>
  <c r="K9" i="11"/>
  <c r="K33" i="11"/>
  <c r="O31" i="1"/>
  <c r="O77" i="1" s="1"/>
  <c r="O138" i="1"/>
  <c r="O107" i="1" s="1"/>
  <c r="P146" i="1"/>
  <c r="P145" i="1"/>
  <c r="O37" i="1"/>
  <c r="O47" i="1"/>
  <c r="O63" i="1"/>
  <c r="O130" i="1" s="1"/>
  <c r="O44" i="1"/>
  <c r="O109" i="1" s="1"/>
  <c r="P30" i="1"/>
  <c r="P63" i="1" s="1"/>
  <c r="O36" i="1"/>
  <c r="N130" i="1"/>
  <c r="L134" i="1"/>
  <c r="L102" i="1" s="1"/>
  <c r="M39" i="1"/>
  <c r="M8" i="11" s="1"/>
  <c r="J53" i="1"/>
  <c r="J55" i="1" s="1"/>
  <c r="J11" i="11"/>
  <c r="N39" i="1"/>
  <c r="N8" i="11" s="1"/>
  <c r="M132" i="1"/>
  <c r="M134" i="1" s="1"/>
  <c r="M84" i="1"/>
  <c r="H184" i="1"/>
  <c r="H186" i="1" s="1"/>
  <c r="L139" i="1"/>
  <c r="L140" i="1" s="1"/>
  <c r="N64" i="1"/>
  <c r="N29" i="11" s="1"/>
  <c r="N77" i="1"/>
  <c r="N107" i="1"/>
  <c r="I168" i="1"/>
  <c r="M112" i="1"/>
  <c r="N109" i="1"/>
  <c r="N101" i="1"/>
  <c r="K46" i="1"/>
  <c r="K50" i="1" s="1"/>
  <c r="F163" i="1"/>
  <c r="P47" i="1" l="1"/>
  <c r="P138" i="1"/>
  <c r="P107" i="1" s="1"/>
  <c r="Q30" i="1"/>
  <c r="Q138" i="1" s="1"/>
  <c r="O101" i="1"/>
  <c r="O27" i="11"/>
  <c r="P130" i="1"/>
  <c r="P36" i="1"/>
  <c r="O64" i="1"/>
  <c r="O131" i="1" s="1"/>
  <c r="P31" i="1"/>
  <c r="P64" i="1" s="1"/>
  <c r="P44" i="1"/>
  <c r="P109" i="1" s="1"/>
  <c r="P37" i="1"/>
  <c r="J168" i="1"/>
  <c r="P117" i="1"/>
  <c r="P43" i="1"/>
  <c r="O33" i="1"/>
  <c r="O7" i="11" s="1"/>
  <c r="P81" i="1"/>
  <c r="Q143" i="1"/>
  <c r="O31" i="11"/>
  <c r="N31" i="11"/>
  <c r="P27" i="11"/>
  <c r="O112" i="1"/>
  <c r="N131" i="1"/>
  <c r="O132" i="1"/>
  <c r="O84" i="1"/>
  <c r="G169" i="1"/>
  <c r="J12" i="11"/>
  <c r="J118" i="1"/>
  <c r="J120" i="1" s="1"/>
  <c r="J99" i="1"/>
  <c r="J104" i="1" s="1"/>
  <c r="K51" i="1"/>
  <c r="K10" i="11"/>
  <c r="N112" i="1"/>
  <c r="M102" i="1"/>
  <c r="H169" i="1"/>
  <c r="L100" i="1"/>
  <c r="G167" i="1" s="1"/>
  <c r="L40" i="1"/>
  <c r="L42" i="1" s="1"/>
  <c r="N132" i="1"/>
  <c r="N84" i="1"/>
  <c r="L68" i="1"/>
  <c r="M137" i="1"/>
  <c r="M139" i="1" s="1"/>
  <c r="M100" i="1" s="1"/>
  <c r="F164" i="1"/>
  <c r="F166" i="1" s="1"/>
  <c r="F171" i="1" s="1"/>
  <c r="F176" i="1" s="1"/>
  <c r="P29" i="11" l="1"/>
  <c r="O29" i="11"/>
  <c r="P33" i="1"/>
  <c r="P39" i="1" s="1"/>
  <c r="P8" i="11" s="1"/>
  <c r="Q47" i="1"/>
  <c r="Q36" i="1"/>
  <c r="R30" i="1"/>
  <c r="R63" i="1" s="1"/>
  <c r="Q31" i="1"/>
  <c r="Q64" i="1" s="1"/>
  <c r="Q29" i="11" s="1"/>
  <c r="Q37" i="1"/>
  <c r="Q44" i="1"/>
  <c r="Q109" i="1" s="1"/>
  <c r="Q63" i="1"/>
  <c r="Q130" i="1" s="1"/>
  <c r="K168" i="1"/>
  <c r="P77" i="1"/>
  <c r="P31" i="11" s="1"/>
  <c r="P101" i="1"/>
  <c r="O39" i="1"/>
  <c r="O8" i="11" s="1"/>
  <c r="L33" i="11"/>
  <c r="Q146" i="1"/>
  <c r="Q145" i="1"/>
  <c r="L9" i="11"/>
  <c r="Q107" i="1"/>
  <c r="L168" i="1"/>
  <c r="P112" i="1"/>
  <c r="N134" i="1"/>
  <c r="N102" i="1" s="1"/>
  <c r="O134" i="1"/>
  <c r="P131" i="1"/>
  <c r="J122" i="1"/>
  <c r="J125" i="1" s="1"/>
  <c r="J61" i="1" s="1"/>
  <c r="J18" i="11" s="1"/>
  <c r="J88" i="1"/>
  <c r="J89" i="1" s="1"/>
  <c r="K53" i="1"/>
  <c r="K55" i="1" s="1"/>
  <c r="K11" i="11"/>
  <c r="M140" i="1"/>
  <c r="L46" i="1"/>
  <c r="L50" i="1" s="1"/>
  <c r="G163" i="1"/>
  <c r="P7" i="11" l="1"/>
  <c r="P132" i="1"/>
  <c r="P134" i="1" s="1"/>
  <c r="R27" i="11"/>
  <c r="Q77" i="1"/>
  <c r="Q31" i="11" s="1"/>
  <c r="Q33" i="1"/>
  <c r="R31" i="1"/>
  <c r="R33" i="1" s="1"/>
  <c r="R36" i="1"/>
  <c r="R37" i="1"/>
  <c r="R47" i="1"/>
  <c r="R44" i="1"/>
  <c r="R109" i="1" s="1"/>
  <c r="S30" i="1"/>
  <c r="S138" i="1" s="1"/>
  <c r="R138" i="1"/>
  <c r="M168" i="1" s="1"/>
  <c r="P84" i="1"/>
  <c r="Q27" i="11"/>
  <c r="Q43" i="1"/>
  <c r="Q101" i="1" s="1"/>
  <c r="Q117" i="1"/>
  <c r="Q81" i="1"/>
  <c r="R143" i="1"/>
  <c r="J92" i="1"/>
  <c r="J34" i="11"/>
  <c r="Q39" i="1"/>
  <c r="Q8" i="11" s="1"/>
  <c r="Q7" i="11"/>
  <c r="Q112" i="1"/>
  <c r="O102" i="1"/>
  <c r="J169" i="1"/>
  <c r="I169" i="1"/>
  <c r="Q131" i="1"/>
  <c r="J24" i="11"/>
  <c r="R130" i="1"/>
  <c r="K123" i="1"/>
  <c r="J19" i="11" a="1"/>
  <c r="J19" i="11" s="1"/>
  <c r="J73" i="1"/>
  <c r="L51" i="1"/>
  <c r="L10" i="11"/>
  <c r="K12" i="11"/>
  <c r="K99" i="1"/>
  <c r="K104" i="1" s="1"/>
  <c r="K118" i="1"/>
  <c r="G164" i="1"/>
  <c r="G166" i="1" s="1"/>
  <c r="G171" i="1" s="1"/>
  <c r="G176" i="1" s="1"/>
  <c r="N137" i="1"/>
  <c r="N139" i="1" s="1"/>
  <c r="N100" i="1" s="1"/>
  <c r="I167" i="1" s="1"/>
  <c r="M68" i="1"/>
  <c r="H167" i="1"/>
  <c r="M40" i="1"/>
  <c r="M42" i="1" s="1"/>
  <c r="R107" i="1" l="1"/>
  <c r="R112" i="1" s="1"/>
  <c r="Q84" i="1"/>
  <c r="R77" i="1"/>
  <c r="R132" i="1" s="1"/>
  <c r="R64" i="1"/>
  <c r="R29" i="11" s="1"/>
  <c r="S31" i="1"/>
  <c r="S33" i="1" s="1"/>
  <c r="S37" i="1"/>
  <c r="S47" i="1"/>
  <c r="S44" i="1"/>
  <c r="S109" i="1" s="1"/>
  <c r="Q132" i="1"/>
  <c r="Q134" i="1" s="1"/>
  <c r="S36" i="1"/>
  <c r="S63" i="1"/>
  <c r="S130" i="1" s="1"/>
  <c r="M9" i="11"/>
  <c r="R145" i="1"/>
  <c r="R146" i="1"/>
  <c r="M33" i="11"/>
  <c r="J15" i="11"/>
  <c r="R39" i="1"/>
  <c r="R8" i="11" s="1"/>
  <c r="R7" i="11"/>
  <c r="P102" i="1"/>
  <c r="K169" i="1"/>
  <c r="S107" i="1"/>
  <c r="N168" i="1"/>
  <c r="K120" i="1"/>
  <c r="K122" i="1" s="1"/>
  <c r="K125" i="1" s="1"/>
  <c r="K88" i="1"/>
  <c r="K89" i="1" s="1"/>
  <c r="L53" i="1"/>
  <c r="L55" i="1" s="1"/>
  <c r="L11" i="11"/>
  <c r="J94" i="1"/>
  <c r="J5" i="1" s="1"/>
  <c r="J23" i="11"/>
  <c r="M46" i="1"/>
  <c r="M50" i="1" s="1"/>
  <c r="M10" i="11" s="1"/>
  <c r="H163" i="1"/>
  <c r="H164" i="1" s="1"/>
  <c r="H166" i="1" s="1"/>
  <c r="H171" i="1" s="1"/>
  <c r="H176" i="1" s="1"/>
  <c r="N140" i="1"/>
  <c r="R131" i="1" l="1"/>
  <c r="R134" i="1" s="1"/>
  <c r="R31" i="11"/>
  <c r="S77" i="1"/>
  <c r="S31" i="11" s="1"/>
  <c r="S64" i="1"/>
  <c r="S131" i="1" s="1"/>
  <c r="S27" i="11"/>
  <c r="R43" i="1"/>
  <c r="R101" i="1" s="1"/>
  <c r="R117" i="1"/>
  <c r="S112" i="1"/>
  <c r="S143" i="1"/>
  <c r="R81" i="1"/>
  <c r="R84" i="1" s="1"/>
  <c r="S39" i="1"/>
  <c r="S8" i="11" s="1"/>
  <c r="S7" i="11"/>
  <c r="Q102" i="1"/>
  <c r="L169" i="1"/>
  <c r="N68" i="1"/>
  <c r="O137" i="1"/>
  <c r="L12" i="11"/>
  <c r="L99" i="1"/>
  <c r="L104" i="1" s="1"/>
  <c r="L118" i="1"/>
  <c r="L123" i="1"/>
  <c r="K61" i="1"/>
  <c r="K18" i="11" s="1"/>
  <c r="K92" i="1"/>
  <c r="K24" i="11"/>
  <c r="M51" i="1"/>
  <c r="N40" i="1"/>
  <c r="N42" i="1" s="1"/>
  <c r="S29" i="11" l="1"/>
  <c r="S132" i="1"/>
  <c r="S134" i="1" s="1"/>
  <c r="N169" i="1" s="1"/>
  <c r="N9" i="11"/>
  <c r="S145" i="1"/>
  <c r="S81" i="1" s="1"/>
  <c r="S84" i="1" s="1"/>
  <c r="S146" i="1"/>
  <c r="K34" i="11"/>
  <c r="N33" i="11"/>
  <c r="R102" i="1"/>
  <c r="M169" i="1"/>
  <c r="O139" i="1"/>
  <c r="O140" i="1" s="1"/>
  <c r="M53" i="1"/>
  <c r="M11" i="11"/>
  <c r="K73" i="1"/>
  <c r="K19" i="11" a="1"/>
  <c r="K19" i="11" s="1"/>
  <c r="L88" i="1"/>
  <c r="L89" i="1" s="1"/>
  <c r="L120" i="1"/>
  <c r="L122" i="1" s="1"/>
  <c r="L125" i="1" s="1"/>
  <c r="N46" i="1"/>
  <c r="N50" i="1" s="1"/>
  <c r="N10" i="11" s="1"/>
  <c r="I163" i="1"/>
  <c r="S102" i="1" l="1"/>
  <c r="S117" i="1"/>
  <c r="S43" i="1"/>
  <c r="S101" i="1" s="1"/>
  <c r="K15" i="11"/>
  <c r="P137" i="1"/>
  <c r="O68" i="1"/>
  <c r="O100" i="1"/>
  <c r="J167" i="1" s="1"/>
  <c r="O40" i="1"/>
  <c r="O42" i="1" s="1"/>
  <c r="M118" i="1"/>
  <c r="M120" i="1" s="1"/>
  <c r="M55" i="1"/>
  <c r="M99" i="1"/>
  <c r="M104" i="1" s="1"/>
  <c r="M123" i="1"/>
  <c r="L61" i="1"/>
  <c r="L92" i="1"/>
  <c r="L24" i="11"/>
  <c r="K94" i="1"/>
  <c r="K5" i="1" s="1"/>
  <c r="K23" i="11"/>
  <c r="M12" i="11"/>
  <c r="I164" i="1"/>
  <c r="I166" i="1" s="1"/>
  <c r="I171" i="1" s="1"/>
  <c r="I176" i="1" s="1"/>
  <c r="N51" i="1"/>
  <c r="O9" i="11" l="1"/>
  <c r="O33" i="11"/>
  <c r="L18" i="11"/>
  <c r="L34" i="11"/>
  <c r="M122" i="1"/>
  <c r="M125" i="1" s="1"/>
  <c r="M61" i="1" s="1"/>
  <c r="M18" i="11" s="1"/>
  <c r="O46" i="1"/>
  <c r="O50" i="1" s="1"/>
  <c r="J163" i="1"/>
  <c r="M88" i="1"/>
  <c r="M89" i="1" s="1"/>
  <c r="P139" i="1"/>
  <c r="P140" i="1" s="1"/>
  <c r="L73" i="1"/>
  <c r="L19" i="11" a="1"/>
  <c r="L19" i="11" s="1"/>
  <c r="N53" i="1"/>
  <c r="N11" i="11"/>
  <c r="L15" i="11" l="1"/>
  <c r="M34" i="11"/>
  <c r="O51" i="1"/>
  <c r="O10" i="11"/>
  <c r="J164" i="1"/>
  <c r="J166" i="1" s="1"/>
  <c r="J171" i="1" s="1"/>
  <c r="J176" i="1" s="1"/>
  <c r="N123" i="1"/>
  <c r="P68" i="1"/>
  <c r="Q137" i="1"/>
  <c r="P40" i="1"/>
  <c r="P42" i="1" s="1"/>
  <c r="P100" i="1"/>
  <c r="K167" i="1" s="1"/>
  <c r="N118" i="1"/>
  <c r="N120" i="1" s="1"/>
  <c r="N55" i="1"/>
  <c r="N99" i="1"/>
  <c r="N104" i="1" s="1"/>
  <c r="M92" i="1"/>
  <c r="M24" i="11"/>
  <c r="M73" i="1"/>
  <c r="M19" i="11" a="1"/>
  <c r="M19" i="11" s="1"/>
  <c r="N12" i="11"/>
  <c r="L23" i="11"/>
  <c r="L94" i="1"/>
  <c r="L5" i="1" s="1"/>
  <c r="P33" i="11" l="1"/>
  <c r="M23" i="11"/>
  <c r="P9" i="11"/>
  <c r="M15" i="11"/>
  <c r="O53" i="1"/>
  <c r="O11" i="11"/>
  <c r="P46" i="1"/>
  <c r="P50" i="1" s="1"/>
  <c r="K163" i="1"/>
  <c r="N88" i="1"/>
  <c r="N89" i="1" s="1"/>
  <c r="Q139" i="1"/>
  <c r="Q140" i="1" s="1"/>
  <c r="N122" i="1"/>
  <c r="N125" i="1" s="1"/>
  <c r="M94" i="1"/>
  <c r="M5" i="1" s="1"/>
  <c r="P51" i="1" l="1"/>
  <c r="P10" i="11"/>
  <c r="O12" i="11"/>
  <c r="O55" i="1"/>
  <c r="O99" i="1"/>
  <c r="O104" i="1" s="1"/>
  <c r="O118" i="1"/>
  <c r="O120" i="1" s="1"/>
  <c r="K164" i="1"/>
  <c r="K166" i="1" s="1"/>
  <c r="K171" i="1" s="1"/>
  <c r="K176" i="1" s="1"/>
  <c r="O88" i="1"/>
  <c r="O89" i="1" s="1"/>
  <c r="Q68" i="1"/>
  <c r="R137" i="1"/>
  <c r="N61" i="1"/>
  <c r="N18" i="11" s="1"/>
  <c r="O123" i="1"/>
  <c r="Q100" i="1"/>
  <c r="L167" i="1" s="1"/>
  <c r="Q40" i="1"/>
  <c r="Q42" i="1" s="1"/>
  <c r="N24" i="11"/>
  <c r="N92" i="1"/>
  <c r="N34" i="11" l="1"/>
  <c r="Q33" i="11"/>
  <c r="Q9" i="11"/>
  <c r="P53" i="1"/>
  <c r="P11" i="11"/>
  <c r="O122" i="1"/>
  <c r="O125" i="1" s="1"/>
  <c r="O61" i="1" s="1"/>
  <c r="O92" i="1"/>
  <c r="O24" i="11"/>
  <c r="Q46" i="1"/>
  <c r="Q50" i="1" s="1"/>
  <c r="L163" i="1"/>
  <c r="N73" i="1"/>
  <c r="N19" i="11" a="1"/>
  <c r="N19" i="11" s="1"/>
  <c r="R139" i="1"/>
  <c r="R140" i="1" s="1"/>
  <c r="O18" i="11" l="1"/>
  <c r="O34" i="11"/>
  <c r="N15" i="11"/>
  <c r="O73" i="1"/>
  <c r="O19" i="11" a="1"/>
  <c r="O19" i="11" s="1"/>
  <c r="Q51" i="1"/>
  <c r="Q10" i="11"/>
  <c r="P123" i="1"/>
  <c r="P118" i="1"/>
  <c r="P12" i="11"/>
  <c r="P99" i="1"/>
  <c r="P104" i="1" s="1"/>
  <c r="P55" i="1"/>
  <c r="L164" i="1"/>
  <c r="L166" i="1" s="1"/>
  <c r="L171" i="1" s="1"/>
  <c r="L176" i="1" s="1"/>
  <c r="S137" i="1"/>
  <c r="R68" i="1"/>
  <c r="R40" i="1"/>
  <c r="R42" i="1" s="1"/>
  <c r="R100" i="1"/>
  <c r="M167" i="1" s="1"/>
  <c r="N23" i="11"/>
  <c r="N94" i="1"/>
  <c r="N5" i="1" s="1"/>
  <c r="R9" i="11" l="1"/>
  <c r="R33" i="11"/>
  <c r="O15" i="11"/>
  <c r="Q53" i="1"/>
  <c r="Q11" i="11"/>
  <c r="P120" i="1"/>
  <c r="P122" i="1" s="1"/>
  <c r="P125" i="1" s="1"/>
  <c r="P88" i="1"/>
  <c r="P89" i="1" s="1"/>
  <c r="O94" i="1"/>
  <c r="O5" i="1" s="1"/>
  <c r="O23" i="11"/>
  <c r="R46" i="1"/>
  <c r="R50" i="1" s="1"/>
  <c r="M163" i="1"/>
  <c r="S139" i="1"/>
  <c r="S140" i="1" s="1"/>
  <c r="S68" i="1" s="1"/>
  <c r="S33" i="11" s="1"/>
  <c r="P61" i="1" l="1"/>
  <c r="P18" i="11" s="1"/>
  <c r="Q123" i="1"/>
  <c r="Q12" i="11"/>
  <c r="Q55" i="1"/>
  <c r="Q118" i="1"/>
  <c r="Q120" i="1" s="1"/>
  <c r="Q99" i="1"/>
  <c r="Q104" i="1" s="1"/>
  <c r="R51" i="1"/>
  <c r="R10" i="11"/>
  <c r="P92" i="1"/>
  <c r="P24" i="11"/>
  <c r="M164" i="1"/>
  <c r="M166" i="1" s="1"/>
  <c r="M171" i="1" s="1"/>
  <c r="M176" i="1" s="1"/>
  <c r="S40" i="1"/>
  <c r="S42" i="1" s="1"/>
  <c r="S9" i="11" s="1"/>
  <c r="S100" i="1"/>
  <c r="N167" i="1" s="1"/>
  <c r="Q88" i="1" l="1"/>
  <c r="Q89" i="1" s="1"/>
  <c r="Q24" i="11" s="1"/>
  <c r="P34" i="11"/>
  <c r="R53" i="1"/>
  <c r="R11" i="11"/>
  <c r="Q122" i="1"/>
  <c r="Q125" i="1" s="1"/>
  <c r="P73" i="1"/>
  <c r="P19" i="11" a="1"/>
  <c r="P19" i="11" s="1"/>
  <c r="S46" i="1"/>
  <c r="S50" i="1" s="1"/>
  <c r="N163" i="1"/>
  <c r="R166" i="1" s="1"/>
  <c r="Q92" i="1" l="1"/>
  <c r="P15" i="11"/>
  <c r="P94" i="1"/>
  <c r="P5" i="1" s="1"/>
  <c r="P23" i="11"/>
  <c r="R123" i="1"/>
  <c r="Q61" i="1"/>
  <c r="R55" i="1"/>
  <c r="R12" i="11"/>
  <c r="R118" i="1"/>
  <c r="R99" i="1"/>
  <c r="R104" i="1" s="1"/>
  <c r="S51" i="1"/>
  <c r="S10" i="11"/>
  <c r="N164" i="1"/>
  <c r="N166" i="1" s="1"/>
  <c r="N171" i="1" s="1"/>
  <c r="Q18" i="11" l="1"/>
  <c r="Q34" i="11"/>
  <c r="S53" i="1"/>
  <c r="S11" i="11"/>
  <c r="R120" i="1"/>
  <c r="R122" i="1" s="1"/>
  <c r="R125" i="1" s="1"/>
  <c r="R88" i="1"/>
  <c r="R89" i="1" s="1"/>
  <c r="Q73" i="1"/>
  <c r="Q19" i="11" a="1"/>
  <c r="Q19" i="11" s="1"/>
  <c r="R167" i="1"/>
  <c r="N176" i="1"/>
  <c r="Q15" i="11" l="1"/>
  <c r="R168" i="1"/>
  <c r="N172" i="1" s="1"/>
  <c r="S12" i="11"/>
  <c r="S55" i="1"/>
  <c r="S99" i="1"/>
  <c r="S104" i="1" s="1"/>
  <c r="S118" i="1"/>
  <c r="S120" i="1" s="1"/>
  <c r="Q23" i="11"/>
  <c r="Q94" i="1"/>
  <c r="Q5" i="1" s="1"/>
  <c r="R92" i="1"/>
  <c r="R24" i="11"/>
  <c r="S123" i="1"/>
  <c r="R61" i="1"/>
  <c r="R18" i="11" s="1"/>
  <c r="S88" i="1" l="1"/>
  <c r="S89" i="1" s="1"/>
  <c r="S24" i="11" s="1"/>
  <c r="R34" i="11"/>
  <c r="N177" i="1"/>
  <c r="C181" i="1" s="1"/>
  <c r="S122" i="1"/>
  <c r="S125" i="1" s="1"/>
  <c r="S61" i="1" s="1"/>
  <c r="S18" i="11" s="1"/>
  <c r="R73" i="1"/>
  <c r="R19" i="11" a="1"/>
  <c r="R19" i="11" s="1"/>
  <c r="S92" i="1" l="1"/>
  <c r="R15" i="11"/>
  <c r="S34" i="11"/>
  <c r="C186" i="1"/>
  <c r="C188" i="1" s="1"/>
  <c r="R94" i="1"/>
  <c r="R5" i="1" s="1"/>
  <c r="R23" i="11"/>
  <c r="S73" i="1"/>
  <c r="S15" i="11" s="1"/>
  <c r="S19" i="11" a="1"/>
  <c r="S19" i="11" s="1"/>
  <c r="E195" i="1" l="1"/>
  <c r="M183" i="1"/>
  <c r="M185" i="1" s="1"/>
  <c r="E204" i="1"/>
  <c r="S23" i="11"/>
  <c r="S94" i="1"/>
  <c r="S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Om Nilapwar</author>
  </authors>
  <commentList>
    <comment ref="C155" authorId="0" shapeId="0" xr:uid="{7777BDA9-98D4-454E-93BB-3A0173785C77}">
      <text>
        <r>
          <rPr>
            <b/>
            <sz val="9"/>
            <color indexed="81"/>
            <rFont val="Tahoma"/>
            <family val="2"/>
          </rPr>
          <t>Om Nilapwar:</t>
        </r>
        <r>
          <rPr>
            <sz val="9"/>
            <color indexed="81"/>
            <rFont val="Tahoma"/>
            <family val="2"/>
          </rPr>
          <t xml:space="preserve">
Data From tradingeconomics.com
Economic Growth rate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Om Nilapwar</author>
  </authors>
  <commentList>
    <comment ref="D38" authorId="0" shapeId="0" xr:uid="{FF2FD797-E3B9-42E1-89D5-B1A35DBEE706}">
      <text>
        <r>
          <rPr>
            <b/>
            <sz val="9"/>
            <color indexed="81"/>
            <rFont val="Tahoma"/>
            <family val="2"/>
          </rPr>
          <t>Om Nilapwar:</t>
        </r>
        <r>
          <rPr>
            <sz val="9"/>
            <color indexed="81"/>
            <rFont val="Tahoma"/>
            <family val="2"/>
          </rPr>
          <t xml:space="preserve">
We take 7.5% Because Ref. in Annual Report shows that 7 to 9%</t>
        </r>
      </text>
    </comment>
    <comment ref="D39" authorId="0" shapeId="0" xr:uid="{A4794F50-FAB8-4709-96EA-BEE6F4044CE2}">
      <text>
        <r>
          <rPr>
            <b/>
            <sz val="9"/>
            <color indexed="81"/>
            <rFont val="Tahoma"/>
            <family val="2"/>
          </rPr>
          <t>Om Nilapwar:</t>
        </r>
        <r>
          <rPr>
            <sz val="9"/>
            <color indexed="81"/>
            <rFont val="Tahoma"/>
            <family val="2"/>
          </rPr>
          <t xml:space="preserve">
Average of past 5 year tax Rate</t>
        </r>
      </text>
    </comment>
    <comment ref="D44" authorId="0" shapeId="0" xr:uid="{44F3D652-234F-4E28-BFE3-753C89669530}">
      <text>
        <r>
          <rPr>
            <b/>
            <sz val="9"/>
            <color indexed="81"/>
            <rFont val="Tahoma"/>
            <family val="2"/>
          </rPr>
          <t>Om Nilapwar:</t>
        </r>
        <r>
          <rPr>
            <sz val="9"/>
            <color indexed="81"/>
            <rFont val="Tahoma"/>
            <family val="2"/>
          </rPr>
          <t xml:space="preserve">
We take from 
Investing.com 
10yr Bond Yeild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Om Nilapwar</author>
  </authors>
  <commentList>
    <comment ref="L2" authorId="0" shapeId="0" xr:uid="{3359C7E8-507B-42E5-AB68-AB18630F7244}">
      <text>
        <r>
          <rPr>
            <b/>
            <sz val="9"/>
            <color indexed="81"/>
            <rFont val="Tahoma"/>
            <family val="2"/>
          </rPr>
          <t>Om Nilapwar:</t>
        </r>
        <r>
          <rPr>
            <sz val="9"/>
            <color indexed="81"/>
            <rFont val="Tahoma"/>
            <family val="2"/>
          </rPr>
          <t xml:space="preserve">
All data from BSE.Com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Om Nilapwar</author>
  </authors>
  <commentList>
    <comment ref="F9" authorId="0" shapeId="0" xr:uid="{760E94F6-B1EB-4C8E-8D0A-100EE1E52EEB}">
      <text>
        <r>
          <rPr>
            <b/>
            <sz val="9"/>
            <color indexed="81"/>
            <rFont val="Tahoma"/>
            <family val="2"/>
          </rPr>
          <t>Om Nilapwar:</t>
        </r>
        <r>
          <rPr>
            <sz val="9"/>
            <color indexed="81"/>
            <rFont val="Tahoma"/>
            <family val="2"/>
          </rPr>
          <t xml:space="preserve">
Assume</t>
        </r>
      </text>
    </comment>
    <comment ref="F10" authorId="0" shapeId="0" xr:uid="{44AC33B5-C2B2-4905-8044-A86E6A82EDC6}">
      <text>
        <r>
          <rPr>
            <b/>
            <sz val="9"/>
            <color indexed="81"/>
            <rFont val="Tahoma"/>
            <family val="2"/>
          </rPr>
          <t>Om Nilapwar:</t>
        </r>
        <r>
          <rPr>
            <sz val="9"/>
            <color indexed="81"/>
            <rFont val="Tahoma"/>
            <family val="2"/>
          </rPr>
          <t xml:space="preserve">
Assume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Om Nilapwar</author>
  </authors>
  <commentList>
    <comment ref="G2" authorId="0" shapeId="0" xr:uid="{FACB7F65-3DA1-4A04-877A-C3641C3F9756}">
      <text>
        <r>
          <rPr>
            <b/>
            <sz val="9"/>
            <color indexed="81"/>
            <rFont val="Tahoma"/>
            <family val="2"/>
          </rPr>
          <t>Om Nilapwar:</t>
        </r>
        <r>
          <rPr>
            <sz val="9"/>
            <color indexed="81"/>
            <rFont val="Tahoma"/>
            <family val="2"/>
          </rPr>
          <t xml:space="preserve">
Data from NSE.com
Market data &gt; Equity &gt; Daily Report&gt; Historical report&gt; Indices&gt; Total Index Return value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<sst xmlns="http://schemas.openxmlformats.org/spreadsheetml/2006/main" count="647" uniqueCount="498">
  <si>
    <t>Consolidated Balance Sheet Of Asian Paint</t>
  </si>
  <si>
    <t>Particular</t>
  </si>
  <si>
    <t>ASSETS</t>
  </si>
  <si>
    <t>Non-Current Assets</t>
  </si>
  <si>
    <t>Property, Plant and Equipment</t>
  </si>
  <si>
    <t>Right-of-Use Assets</t>
  </si>
  <si>
    <t>Capital work-in-progress</t>
  </si>
  <si>
    <t>Goodwill</t>
  </si>
  <si>
    <t>Other Intangible Assets</t>
  </si>
  <si>
    <t>Investments in Associates</t>
  </si>
  <si>
    <t>Financial Assets</t>
  </si>
  <si>
    <t>Investments</t>
  </si>
  <si>
    <t>Trade Receivables</t>
  </si>
  <si>
    <t>Loans</t>
  </si>
  <si>
    <t>Other Financial Assets</t>
  </si>
  <si>
    <t>Deferred Tax Assets (Net)</t>
  </si>
  <si>
    <t>Income Tax Assets (Net)</t>
  </si>
  <si>
    <t>Other Non-Current Assets</t>
  </si>
  <si>
    <t xml:space="preserve">Total non-current assets </t>
  </si>
  <si>
    <t>Current Assets</t>
  </si>
  <si>
    <t>Inventories</t>
  </si>
  <si>
    <t>Cash and Cash Equivalents</t>
  </si>
  <si>
    <t>Other Balances with Banks</t>
  </si>
  <si>
    <t>Other Current Assets</t>
  </si>
  <si>
    <t>Assets classified as Held for Sale</t>
  </si>
  <si>
    <t xml:space="preserve">Total current assets </t>
  </si>
  <si>
    <t>Total Assets</t>
  </si>
  <si>
    <t>EQUITY AND LIABILITIES</t>
  </si>
  <si>
    <t>Equity</t>
  </si>
  <si>
    <t>Equity Share Capital</t>
  </si>
  <si>
    <t>Other Equity</t>
  </si>
  <si>
    <t>Equity attributable to owners of the Company</t>
  </si>
  <si>
    <t>Non-Controlling Interests</t>
  </si>
  <si>
    <t>Total equity</t>
  </si>
  <si>
    <t>Liabilities</t>
  </si>
  <si>
    <t>Non-Current Liabilities</t>
  </si>
  <si>
    <t>Financial Liabilities</t>
  </si>
  <si>
    <t>Borrowings</t>
  </si>
  <si>
    <t>Lease Liabilities</t>
  </si>
  <si>
    <t>Other Financial Liabilities</t>
  </si>
  <si>
    <t>Provisions</t>
  </si>
  <si>
    <t>Deferred Tax Liabilities (Net)</t>
  </si>
  <si>
    <t>Other Non-Current Liabilities</t>
  </si>
  <si>
    <t>Total non-current liabilities</t>
  </si>
  <si>
    <t>Current Liabilities</t>
  </si>
  <si>
    <t>Trade Payables</t>
  </si>
  <si>
    <t>Total Outstanding dues of Micro Enterprises and Small Enterprises</t>
  </si>
  <si>
    <t>Total Outstanding dues of Creditors other than Micro Enterprises and Small Enterprises</t>
  </si>
  <si>
    <t>Other Current Liabilities</t>
  </si>
  <si>
    <t>Income Tax Liabilities (Net)</t>
  </si>
  <si>
    <t xml:space="preserve">Total current liabilities </t>
  </si>
  <si>
    <t>Total Equity and Liabilities</t>
  </si>
  <si>
    <t>Consolidated Statement of Profit and Loss</t>
  </si>
  <si>
    <t>REVENUE FROM OPERATIONS</t>
  </si>
  <si>
    <t>Revenue from Sale of Products</t>
  </si>
  <si>
    <t>Revenue from Sale of Services</t>
  </si>
  <si>
    <t>Other Operating Revenue</t>
  </si>
  <si>
    <t>Other Income</t>
  </si>
  <si>
    <t xml:space="preserve">Total Income </t>
  </si>
  <si>
    <t>EXPENSES</t>
  </si>
  <si>
    <t>Cost of Materials Consumed</t>
  </si>
  <si>
    <t>Purchases of Stock-in-Trade</t>
  </si>
  <si>
    <t>Changes in inventories of finished goods, Stock-in-Trade and work-in-progress</t>
  </si>
  <si>
    <t>Employee Benefits Expense</t>
  </si>
  <si>
    <t>Other Expenses</t>
  </si>
  <si>
    <t xml:space="preserve">Total Expenses </t>
  </si>
  <si>
    <t xml:space="preserve"> (EBITDA)</t>
  </si>
  <si>
    <t>Finance Costs</t>
  </si>
  <si>
    <t>Depreciation and Amortisation Expense</t>
  </si>
  <si>
    <t>PROFIT BEFORE SHARE OF PROFIT IN ASSOCIATES AND EXCEPTIONAL ITEMS</t>
  </si>
  <si>
    <t>Share of profit in Associates</t>
  </si>
  <si>
    <t>PROFIT BEFORE EXCEPTIONAL ITEMS AND TAX</t>
  </si>
  <si>
    <t>Exceptional Items</t>
  </si>
  <si>
    <t>PROFIT BEFORE TAX</t>
  </si>
  <si>
    <t>Tax Expense</t>
  </si>
  <si>
    <t>Current Tax</t>
  </si>
  <si>
    <t>Short tax provision for earlier years</t>
  </si>
  <si>
    <t>Deferred Tax</t>
  </si>
  <si>
    <t>Total tax expense</t>
  </si>
  <si>
    <t>PROFIT AFTER TAX</t>
  </si>
  <si>
    <t>OTHER COMPREHENSIVE INCOME (OCI)</t>
  </si>
  <si>
    <t>A. Items that will not be reclassified to Profit or Loss</t>
  </si>
  <si>
    <t>(i) (a) Remeasurement of the defined benefit plans</t>
  </si>
  <si>
    <t>(b) Income tax benefit/(expense) on remeasurement of defined benefit plans</t>
  </si>
  <si>
    <t>(ii) (a) Net fair value gain/(loss) on investments in equity instruments through OCI</t>
  </si>
  <si>
    <t>(b) Income tax (expense)/benefit on net fair value gain on investments in equity instruments through OCI</t>
  </si>
  <si>
    <t>(iii) Share of OCI in Associates</t>
  </si>
  <si>
    <t>B. Items that will be reclassified to Profit or Loss</t>
  </si>
  <si>
    <t>(i) (a) Net fair value (loss) on investment in debt instruments through OCI</t>
  </si>
  <si>
    <t>(b) Income tax benefit on net fair value gain on investment in debt instruments through OCI</t>
  </si>
  <si>
    <t>(ii) Exchange difference arising on translation of foreign operations</t>
  </si>
  <si>
    <t>iv) (a) Net gain on cash flow hedges</t>
  </si>
  <si>
    <t>(b)Income tax expense on net gain on cash flow hedges</t>
  </si>
  <si>
    <t>Total Other Comprehensive Income (A+B)</t>
  </si>
  <si>
    <t>TOTAL COMPREHENSIVE INCOME FOR THE YEAR</t>
  </si>
  <si>
    <t>(A) CASH FLOW FROM OPERATING ACTIVITIES</t>
  </si>
  <si>
    <t>Profit before tax</t>
  </si>
  <si>
    <t>Adjustments for :</t>
  </si>
  <si>
    <t>Depreciation and amortisation expense</t>
  </si>
  <si>
    <t>(Gain) on disposal of property, plant and equipment and other intangible assets (net)</t>
  </si>
  <si>
    <t>Net gain on modification/ termination of leases</t>
  </si>
  <si>
    <t>Finance costs</t>
  </si>
  <si>
    <t>Allowances for doubtful debts and advances</t>
  </si>
  <si>
    <t>Fair valuation gain on previously held equity interest, pursuant to acquisition of controlling stake in Obgenix Software Private Limited (White Teak)</t>
  </si>
  <si>
    <t>Bad debts written off</t>
  </si>
  <si>
    <t>Interest income</t>
  </si>
  <si>
    <t>Dividend income</t>
  </si>
  <si>
    <t>Impairment loss on Goodwill in Causeway Lanka</t>
  </si>
  <si>
    <t>Net gain arising on financial assets measured at fair value through Profit or Loss (FVTPL)</t>
  </si>
  <si>
    <t>Fair valuation loss on earnout, derivatives and gross obligation towards acquisition</t>
  </si>
  <si>
    <t>Share based payment expense (net)</t>
  </si>
  <si>
    <t>Loss on sale of disposal of subsidiaries</t>
  </si>
  <si>
    <t>(Reversal)/ Provision for expected credit loss on government grants</t>
  </si>
  <si>
    <t>Deferred income arising from government grant</t>
  </si>
  <si>
    <t>Net unrealised foreign exchange loss</t>
  </si>
  <si>
    <t>Effect of exchange rates on translation of operating cashflows</t>
  </si>
  <si>
    <t>Operating Profit before working capital changes</t>
  </si>
  <si>
    <t>(Increase) in trade receivables</t>
  </si>
  <si>
    <t>Decrease/ (Increase) in financial assets</t>
  </si>
  <si>
    <t>(Increase) in inventories</t>
  </si>
  <si>
    <t>(Increase) in other assets</t>
  </si>
  <si>
    <t>(Decrease)/ Increase in trade payables</t>
  </si>
  <si>
    <t>Increase in other financial liabilities</t>
  </si>
  <si>
    <t>Increase in other liabilities and provisions</t>
  </si>
  <si>
    <t>Cash generated from Operating activities</t>
  </si>
  <si>
    <t>Income Tax paid (net of refund)</t>
  </si>
  <si>
    <t>Net Cash generated from Operating activities</t>
  </si>
  <si>
    <t>(B) CASH FLOW FROM INVESTING ACTIVITIES</t>
  </si>
  <si>
    <t>Purchase of property, plant and equipment and other intangible assets</t>
  </si>
  <si>
    <t>Sale of property, plant and equipment (including advances)</t>
  </si>
  <si>
    <t>Payment for acquiring right-of-use assets</t>
  </si>
  <si>
    <t>Purchase of non-current investments</t>
  </si>
  <si>
    <t>Sale of non-current investments</t>
  </si>
  <si>
    <t>Sale of current investments (net)</t>
  </si>
  <si>
    <t>Net investment in term deposits (having original maturity more than three months)</t>
  </si>
  <si>
    <t>Investment in Associate</t>
  </si>
  <si>
    <t>Amount paid towards acquiring controlling stake in White Teak and Harind Chemicals and Pharmaceuticals Private Limited (net)</t>
  </si>
  <si>
    <t>Payment of earnout</t>
  </si>
  <si>
    <t>Interest received</t>
  </si>
  <si>
    <t>Dividend received from Associate</t>
  </si>
  <si>
    <t>Dividend received from others</t>
  </si>
  <si>
    <t>Net Cash used in Investing activities</t>
  </si>
  <si>
    <t>(C) CASH FLOW FROM FINANCING ACTIVITIES</t>
  </si>
  <si>
    <t>Proceeds from non-current borrowings</t>
  </si>
  <si>
    <t>Repayment of non-current borrowings</t>
  </si>
  <si>
    <t>Proceeds from current borrowings (net)</t>
  </si>
  <si>
    <t>Acceptances (net)</t>
  </si>
  <si>
    <t>Amount infused by non-controlling shareholders in subsidiary</t>
  </si>
  <si>
    <t>Repayment of principal portion of lease liabilities</t>
  </si>
  <si>
    <t>Transactions with Non Controlling Interest</t>
  </si>
  <si>
    <t>Finance costs (including interest on lease liabilities) paid</t>
  </si>
  <si>
    <t>Purchase of treasury shares by ESOP Trust (net)</t>
  </si>
  <si>
    <t>Dividend paid (including dividend paid to non-controlling shareholders)</t>
  </si>
  <si>
    <t>Net Cash used in Financing activities</t>
  </si>
  <si>
    <t>(D) NET INCREASE/(DECREASE) IN CASH AND CASH EQUIVALENTS [A+B+C]</t>
  </si>
  <si>
    <t>Add : Cash and cash equivalents as at 1st April</t>
  </si>
  <si>
    <t>Net effect of exchange (loss)/ gain on cash and cash equivalents</t>
  </si>
  <si>
    <t>Cash and cash equivalents as at 31st March</t>
  </si>
  <si>
    <t>Historical Period</t>
  </si>
  <si>
    <t>Financial Statement &amp; DCF Analysis</t>
  </si>
  <si>
    <t>Asian Paints Ltd</t>
  </si>
  <si>
    <t xml:space="preserve">ASIANPAINT | 500820 </t>
  </si>
  <si>
    <t>Income Statement</t>
  </si>
  <si>
    <t>Income</t>
  </si>
  <si>
    <t>Revenue</t>
  </si>
  <si>
    <t>Gross Profit</t>
  </si>
  <si>
    <t>Expenses</t>
  </si>
  <si>
    <t>Earning Before Interest Tax (EBIT)</t>
  </si>
  <si>
    <t xml:space="preserve">Earning Before Tax &amp; Exceptional Item </t>
  </si>
  <si>
    <t>Non - Operating Income</t>
  </si>
  <si>
    <t>Earning Before Tax</t>
  </si>
  <si>
    <t>Net Earning</t>
  </si>
  <si>
    <t>Less: Cost of Goods Sold (COGS)</t>
  </si>
  <si>
    <t>Less: Employee Benefits Expenses</t>
  </si>
  <si>
    <t>Less: Other SG&amp;A Expenses</t>
  </si>
  <si>
    <t>Less: Depreciation &amp; Amortisation Expenses</t>
  </si>
  <si>
    <t>Less: Interest</t>
  </si>
  <si>
    <t>Less: Exceptional Items</t>
  </si>
  <si>
    <t>Less: Taxes</t>
  </si>
  <si>
    <t>Add: Other Income</t>
  </si>
  <si>
    <t>Balance Sheet</t>
  </si>
  <si>
    <t>Assets</t>
  </si>
  <si>
    <t>Current assets</t>
  </si>
  <si>
    <t>Cash and cash equivalents</t>
  </si>
  <si>
    <t>Bank Balances</t>
  </si>
  <si>
    <t>Account Receivables</t>
  </si>
  <si>
    <t>Other current assets</t>
  </si>
  <si>
    <t>Non-current assets</t>
  </si>
  <si>
    <t>Property, plant and equipment</t>
  </si>
  <si>
    <t>Other non-current assets</t>
  </si>
  <si>
    <t>Account Payable</t>
  </si>
  <si>
    <t>Other current liabilities</t>
  </si>
  <si>
    <t>Non-current liabilities</t>
  </si>
  <si>
    <t>Debt</t>
  </si>
  <si>
    <t>Other non-current liabilities</t>
  </si>
  <si>
    <t xml:space="preserve">Total liabilities </t>
  </si>
  <si>
    <t>Shareholder Equity</t>
  </si>
  <si>
    <t>Retained earning</t>
  </si>
  <si>
    <t>Total Shareholder Equity</t>
  </si>
  <si>
    <t>Non controlling interest</t>
  </si>
  <si>
    <t>Total liabilities &amp; Shareholder Equity</t>
  </si>
  <si>
    <t>Check</t>
  </si>
  <si>
    <t>MasterCheck</t>
  </si>
  <si>
    <t>Cash Flow Statement</t>
  </si>
  <si>
    <t>Operating Cash Flow</t>
  </si>
  <si>
    <t>Add: Depreciation and Amortisation</t>
  </si>
  <si>
    <t>Add/Less: Adjustments for Non Operating Items</t>
  </si>
  <si>
    <t>Add/Less: Adjustments for Operating Assets &amp; liabilities</t>
  </si>
  <si>
    <t>Cash from Operation</t>
  </si>
  <si>
    <t xml:space="preserve">Subtotal of Adjustments </t>
  </si>
  <si>
    <t>Investing Cash Flow</t>
  </si>
  <si>
    <t>Investment in property, plant and equipment</t>
  </si>
  <si>
    <t>Purchase/sale of Investmet</t>
  </si>
  <si>
    <t>Dividend received</t>
  </si>
  <si>
    <t>Cash from Investing</t>
  </si>
  <si>
    <t>Financing Cash Flow</t>
  </si>
  <si>
    <t>Issuance (Repayment) of Debt</t>
  </si>
  <si>
    <t>Interest paid</t>
  </si>
  <si>
    <t>Payment of dividend on equity shares</t>
  </si>
  <si>
    <t>Cash from financing</t>
  </si>
  <si>
    <t>Net increase/ Decrease in Cash</t>
  </si>
  <si>
    <t>Opening cash balance</t>
  </si>
  <si>
    <t>Closing Cash Balance</t>
  </si>
  <si>
    <t>Supporting Schedules</t>
  </si>
  <si>
    <t>Working Capital</t>
  </si>
  <si>
    <t>Accounts Receivable</t>
  </si>
  <si>
    <t>Inventory</t>
  </si>
  <si>
    <t>Account Payables</t>
  </si>
  <si>
    <t>Other</t>
  </si>
  <si>
    <t xml:space="preserve">Total </t>
  </si>
  <si>
    <t>Ratio &amp; Assumptions</t>
  </si>
  <si>
    <t>Live Scenario</t>
  </si>
  <si>
    <t>Base Case</t>
  </si>
  <si>
    <t>Units</t>
  </si>
  <si>
    <t>Revenue Growth</t>
  </si>
  <si>
    <t>%</t>
  </si>
  <si>
    <t>Cost of Good Sold (% of Revenue)</t>
  </si>
  <si>
    <t>Employee Benefits Expenses (% of Revenue)</t>
  </si>
  <si>
    <t>Other SG&amp;A Expenses (% of Revenue)</t>
  </si>
  <si>
    <t>Depreciation &amp; Amortisation Expenses (% of PPE)</t>
  </si>
  <si>
    <t>Interest (% of Debt)</t>
  </si>
  <si>
    <t>Other Income (% of Revenue)</t>
  </si>
  <si>
    <t>Non - Operating Income (% of Revenue)</t>
  </si>
  <si>
    <t>Tax Rate (% of Earning Before Tax)</t>
  </si>
  <si>
    <t>Divident Payout</t>
  </si>
  <si>
    <t>Account Receivable</t>
  </si>
  <si>
    <t>Days</t>
  </si>
  <si>
    <t>Accounts Payable</t>
  </si>
  <si>
    <t>Capital Assets Turnover Ratio</t>
  </si>
  <si>
    <t>Times</t>
  </si>
  <si>
    <t>Scenarios</t>
  </si>
  <si>
    <t>Growth (%)</t>
  </si>
  <si>
    <t>Bull Case</t>
  </si>
  <si>
    <t>Bear Case</t>
  </si>
  <si>
    <t>Annual Growth Tapering</t>
  </si>
  <si>
    <t>Depreciation Schedule</t>
  </si>
  <si>
    <t>PPE Opening</t>
  </si>
  <si>
    <t>Add: Capex</t>
  </si>
  <si>
    <t>Less: Depreciation</t>
  </si>
  <si>
    <t>PPE Closing</t>
  </si>
  <si>
    <t>Debt &amp; Interest Schedule</t>
  </si>
  <si>
    <t>Debt Opening</t>
  </si>
  <si>
    <t>Issuance / Repayment</t>
  </si>
  <si>
    <t>Debt Closing</t>
  </si>
  <si>
    <t>Interest Expenses</t>
  </si>
  <si>
    <t>DCF Model</t>
  </si>
  <si>
    <t>Market Data</t>
  </si>
  <si>
    <t>Financial Data</t>
  </si>
  <si>
    <t>Valuations</t>
  </si>
  <si>
    <t>Company Name</t>
  </si>
  <si>
    <t>Price (Rs)</t>
  </si>
  <si>
    <t>Market Cap.</t>
  </si>
  <si>
    <t>Cash &amp; Equivalent</t>
  </si>
  <si>
    <t>EV</t>
  </si>
  <si>
    <t>Sales</t>
  </si>
  <si>
    <t>EBITDA</t>
  </si>
  <si>
    <t>Earning</t>
  </si>
  <si>
    <t>EV/Sales</t>
  </si>
  <si>
    <t>EV/EBITDA</t>
  </si>
  <si>
    <t>P/E</t>
  </si>
  <si>
    <t>All No.s In Cr.</t>
  </si>
  <si>
    <t>S.No.</t>
  </si>
  <si>
    <t>Name</t>
  </si>
  <si>
    <t>EV / EBITDA</t>
  </si>
  <si>
    <t>Asian Paints</t>
  </si>
  <si>
    <t>Berger Paints</t>
  </si>
  <si>
    <t>Kansai Nerolac</t>
  </si>
  <si>
    <t>JSW Dulux</t>
  </si>
  <si>
    <t>Indigo Paints</t>
  </si>
  <si>
    <t>Sirca Paints</t>
  </si>
  <si>
    <t>Shalimar Paints</t>
  </si>
  <si>
    <r>
      <t>CMP </t>
    </r>
    <r>
      <rPr>
        <sz val="11"/>
        <color theme="0"/>
        <rFont val="Arial"/>
        <family val="2"/>
      </rPr>
      <t>Rs.</t>
    </r>
  </si>
  <si>
    <r>
      <t>Mar Cap </t>
    </r>
    <r>
      <rPr>
        <sz val="11"/>
        <color theme="0"/>
        <rFont val="Arial"/>
        <family val="2"/>
      </rPr>
      <t>Rs.Cr.</t>
    </r>
  </si>
  <si>
    <r>
      <t>Debt </t>
    </r>
    <r>
      <rPr>
        <sz val="11"/>
        <color theme="0"/>
        <rFont val="Arial"/>
        <family val="2"/>
      </rPr>
      <t>Rs.Cr.</t>
    </r>
  </si>
  <si>
    <r>
      <t>EV </t>
    </r>
    <r>
      <rPr>
        <sz val="11"/>
        <color theme="0"/>
        <rFont val="Arial"/>
        <family val="2"/>
      </rPr>
      <t>Rs.Cr.</t>
    </r>
  </si>
  <si>
    <r>
      <t>Sales </t>
    </r>
    <r>
      <rPr>
        <sz val="11"/>
        <color theme="0"/>
        <rFont val="Arial"/>
        <family val="2"/>
      </rPr>
      <t>Rs.Cr.</t>
    </r>
  </si>
  <si>
    <r>
      <t>PAT 12M </t>
    </r>
    <r>
      <rPr>
        <sz val="11"/>
        <color theme="0"/>
        <rFont val="Arial"/>
        <family val="2"/>
      </rPr>
      <t>Rs.Cr.</t>
    </r>
  </si>
  <si>
    <r>
      <t>Cash </t>
    </r>
    <r>
      <rPr>
        <sz val="11"/>
        <color theme="0"/>
        <rFont val="Arial"/>
        <family val="2"/>
      </rPr>
      <t>Rs.Cr.</t>
    </r>
  </si>
  <si>
    <r>
      <t>Cash Beginning </t>
    </r>
    <r>
      <rPr>
        <sz val="11"/>
        <color theme="0"/>
        <rFont val="Arial"/>
        <family val="2"/>
      </rPr>
      <t>Rs.Cr.</t>
    </r>
  </si>
  <si>
    <r>
      <t>OP 12M </t>
    </r>
    <r>
      <rPr>
        <sz val="11"/>
        <color theme="0"/>
        <rFont val="Arial"/>
        <family val="2"/>
      </rPr>
      <t>Rs.Cr.</t>
    </r>
  </si>
  <si>
    <r>
      <t>Tax 12M </t>
    </r>
    <r>
      <rPr>
        <sz val="11"/>
        <color theme="0"/>
        <rFont val="Arial"/>
        <family val="2"/>
      </rPr>
      <t>Rs.Cr.</t>
    </r>
  </si>
  <si>
    <r>
      <t>Current Tax 12M </t>
    </r>
    <r>
      <rPr>
        <sz val="11"/>
        <color theme="0"/>
        <rFont val="Arial"/>
        <family val="2"/>
      </rPr>
      <t>Rs.Cr.</t>
    </r>
  </si>
  <si>
    <t>Average</t>
  </si>
  <si>
    <t>Median</t>
  </si>
  <si>
    <t>Metric</t>
  </si>
  <si>
    <t>Comps</t>
  </si>
  <si>
    <t>Net Debt</t>
  </si>
  <si>
    <t>Equity Value</t>
  </si>
  <si>
    <t>Shares</t>
  </si>
  <si>
    <t>Share Price</t>
  </si>
  <si>
    <t>Shares (MM.)</t>
  </si>
  <si>
    <t>Comparable Company Beta</t>
  </si>
  <si>
    <t>Total Debt</t>
  </si>
  <si>
    <t>Debt/Equity</t>
  </si>
  <si>
    <t>Debt/Capital</t>
  </si>
  <si>
    <t>Tax Rate</t>
  </si>
  <si>
    <t>Levered Beta</t>
  </si>
  <si>
    <t>Unlevered Beta</t>
  </si>
  <si>
    <t>WACC Calculation</t>
  </si>
  <si>
    <t>Target Capital Structure</t>
  </si>
  <si>
    <t>Proportion of Debt</t>
  </si>
  <si>
    <t>Proportion of Equity</t>
  </si>
  <si>
    <t>Current Capital Structure</t>
  </si>
  <si>
    <t>Market Cap</t>
  </si>
  <si>
    <t>Cost of Debt</t>
  </si>
  <si>
    <t>Pre-Tax Cost of Debt</t>
  </si>
  <si>
    <t>After Tax Cost of Debt</t>
  </si>
  <si>
    <t>Cost of Equity</t>
  </si>
  <si>
    <t>Risk Free Rate (Rf)</t>
  </si>
  <si>
    <t>Equity Market Return</t>
  </si>
  <si>
    <t>Equity Risk Premium (ERP)</t>
  </si>
  <si>
    <t xml:space="preserve">Levered Market Beta </t>
  </si>
  <si>
    <t>WACC</t>
  </si>
  <si>
    <t xml:space="preserve">Index </t>
  </si>
  <si>
    <t>Nifty 50 Tri</t>
  </si>
  <si>
    <t>Date</t>
  </si>
  <si>
    <t>Close Price</t>
  </si>
  <si>
    <t>Years</t>
  </si>
  <si>
    <t>Market Return</t>
  </si>
  <si>
    <t>Assumption</t>
  </si>
  <si>
    <t>Transaction Date</t>
  </si>
  <si>
    <t>EV/EBITDA Multiple</t>
  </si>
  <si>
    <t>Perpetual Growth Rate</t>
  </si>
  <si>
    <t>Discount Rate (WACC)</t>
  </si>
  <si>
    <t>Share Outstanding (Million)</t>
  </si>
  <si>
    <t>Current Share Price (Rs)</t>
  </si>
  <si>
    <t xml:space="preserve">Discounted Cash Flow </t>
  </si>
  <si>
    <t>EBIT</t>
  </si>
  <si>
    <t>Less: Cash Tax</t>
  </si>
  <si>
    <t>NOPAT</t>
  </si>
  <si>
    <t>Add: Depreciation &amp; Amortization</t>
  </si>
  <si>
    <t>Less: Capex</t>
  </si>
  <si>
    <t>Less: Change in Net WC</t>
  </si>
  <si>
    <t xml:space="preserve"> Free Cash Flow to Firm (FCFF)</t>
  </si>
  <si>
    <t>Terminal Value</t>
  </si>
  <si>
    <t>Present Value Factor</t>
  </si>
  <si>
    <t>PV of Free Cash Flow</t>
  </si>
  <si>
    <t>Perp. Growth</t>
  </si>
  <si>
    <t>Terminal Value (Average)</t>
  </si>
  <si>
    <t>Intrinsic Value</t>
  </si>
  <si>
    <t>Market Value</t>
  </si>
  <si>
    <t>Rate of Return</t>
  </si>
  <si>
    <t>Enterprise Value</t>
  </si>
  <si>
    <t>Current Price</t>
  </si>
  <si>
    <t>Add: Cash &amp; Equivalent</t>
  </si>
  <si>
    <t>Add: Debt</t>
  </si>
  <si>
    <t>Target Price</t>
  </si>
  <si>
    <t>Less: Debt</t>
  </si>
  <si>
    <t>Less: Cash &amp; Equivalent</t>
  </si>
  <si>
    <t>Equity Value/Share</t>
  </si>
  <si>
    <t>Sensitivity Analysis</t>
  </si>
  <si>
    <t>Sensitivity - Intrinsic Value (Rs/Share)</t>
  </si>
  <si>
    <t>Exit Multiple</t>
  </si>
  <si>
    <t>Discount Rate</t>
  </si>
  <si>
    <t xml:space="preserve">Consolidated Statement of Cash Flow </t>
  </si>
  <si>
    <t>All Values In Crores</t>
  </si>
  <si>
    <t>Upside/downside potential %</t>
  </si>
  <si>
    <t>% Change</t>
  </si>
  <si>
    <t xml:space="preserve">Stock </t>
  </si>
  <si>
    <t>Monthly</t>
  </si>
  <si>
    <t>Beta</t>
  </si>
  <si>
    <t>52W High</t>
  </si>
  <si>
    <t>52W Low</t>
  </si>
  <si>
    <t>Standard Error</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</si>
  <si>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</si>
  <si>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</si>
  <si>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</si>
  <si>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</si>
  <si>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</si>
  <si>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</si>
  <si>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</si>
  <si>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</si>
  <si>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</si>
  <si>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</si>
  <si>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</si>
  <si>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</si>
  <si>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</si>
  <si>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</si>
  <si>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</si>
  <si>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</si>
  <si>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</si>
  <si>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</si>
  <si>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</si>
  <si>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</si>
  <si>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</si>
  <si>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</si>
  <si>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</si>
  <si>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</si>
  <si>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Another Marthod Of Calculating Beta</t>
  </si>
  <si>
    <t>Profitability Ratios</t>
  </si>
  <si>
    <t>Gross Margin</t>
  </si>
  <si>
    <t>EBITDA Margin</t>
  </si>
  <si>
    <t>Operating Margin</t>
  </si>
  <si>
    <t>Pretax Margin</t>
  </si>
  <si>
    <t>Effective Tax rate</t>
  </si>
  <si>
    <t>Net Margin</t>
  </si>
  <si>
    <t>DuPont/Earning Power</t>
  </si>
  <si>
    <t>Asset Turnover</t>
  </si>
  <si>
    <t>Liquidity Ratio</t>
  </si>
  <si>
    <t>Quick ratio</t>
  </si>
  <si>
    <t>Current ratio</t>
  </si>
  <si>
    <t>Cash Cycle (Days)</t>
  </si>
  <si>
    <t>Leverage</t>
  </si>
  <si>
    <t>Asset/Equity</t>
  </si>
  <si>
    <t>Operating</t>
  </si>
  <si>
    <t>A/R Turnover</t>
  </si>
  <si>
    <t>Avg. A/R Days</t>
  </si>
  <si>
    <t>Inventory Turnover</t>
  </si>
  <si>
    <t>Avg. Inventory Days</t>
  </si>
  <si>
    <t>A/P Turnover</t>
  </si>
  <si>
    <t>Avg. A/P Days</t>
  </si>
  <si>
    <t>Fixed Asset Turnover</t>
  </si>
  <si>
    <t>ROIC</t>
  </si>
  <si>
    <t>Gross margin increased from 37.1% to 43.8% during the historical period, indicating improved cost efficiency, pricing power, and product mix. However, the margin is projected to stabilize at 41.1% in the forecast period, reflecting a conservative assumption and normalization of margins.</t>
  </si>
  <si>
    <t>EBITDA margin improved from 16.5% to 21.4% during the historical period, reflecting stronger operating efficiency and better cost management. It is then projected to remain broadly stable at around 18.5%, indicating a conservative assumption of normalized operating profitability and consistent cost control.</t>
  </si>
  <si>
    <t>Operating margin improved from 13.7% to 19.0%, indicating better operational efficiency. It is projected to gradually increase to 16.4%, reflecting steady improvement in profitability and cost management.</t>
  </si>
  <si>
    <t>Pretax margin improved from 14.4% to 20.7%, indicating stronger profitability. It is projected to gradually increase to 17.5%, reflecting stable earnings and improved cost efficiency.</t>
  </si>
  <si>
    <t>Effective tax rate remained relatively stable between 24.4% and 27.3% and is projected at around 26.2%, indicating a consistent tax burden and stable tax assumptions.</t>
  </si>
  <si>
    <t>Net margin improved from 10.6% to 15.7%, reflecting stronger profitability. It is projected to gradually improve to 12.9%, indicating stable earnings growth and cost control.</t>
  </si>
  <si>
    <t>Asset turnover declined from 5.72 to 3.93 and is projected to gradually fall to 2.88, indicating lower asset utilization and increasing asset intensity over time.</t>
  </si>
  <si>
    <t>Quick Ratio: Improved from 0.68 to 0.80, then declined to 0.66, before being projected to rise steadily to 1.63, indicating strengthening short-term liquidity.</t>
  </si>
  <si>
    <t>Current Ratio: Remained around 1.5–1.8 historically and is projected to increase to 2.71, indicating a stronger ability to meet short-term obligations.</t>
  </si>
  <si>
    <t>Cash Cycle: Fluctuated between 80 and 100 days historically and is projected to remain stable at 90 days, indicating consistent working-capital management.</t>
  </si>
  <si>
    <t>Asset/Equity: Declined from 1.66 to 1.57 and is projected to gradually decrease to 1.46, indicating lower financial leverage and a stronger equity base.</t>
  </si>
  <si>
    <t>Debt/Equity: Increased from 0.11 to 0.18 before declining to 0.12, indicating relatively low debt levels and improving financial stability.</t>
  </si>
  <si>
    <t>A/R Turnover: Remained relatively stable around 7.3–8.0x, indicating consistent collection efficiency.</t>
  </si>
  <si>
    <t>Avg. A/R Days: Stayed within 46–50 days and is projected at 48 days, reflecting stable receivables management.</t>
  </si>
  <si>
    <t>Inventory Turnover: Fluctuated between 2.9–3.5x and is projected at 3.2x, indicating stable inventory management</t>
  </si>
  <si>
    <t>Avg. Inventory Days: Improved from 123 to 105 days, then stabilized at 114 days, indicating consistent inventory holding.</t>
  </si>
  <si>
    <t>A/P Turnover: Ranged between 4.4–5.8x and is projected at 5.1x, reflecting stable payment practices.</t>
  </si>
  <si>
    <t>Avg. A/P Days: Improved from 83 to 70 days and is projected at 72 days, indicating consistent supplier payment management</t>
  </si>
  <si>
    <t>Fixed Asset Turnover: Declined from 2.5x to 1.6x, but is projected to recover to 2.3x, indicating improving utilization of fixed assets.</t>
  </si>
  <si>
    <t>ROIC: Improved to 26% historically and is projected to stabilize around 18%, indicating healthy returns on invested capital.</t>
  </si>
  <si>
    <t>Interpretation</t>
  </si>
  <si>
    <t>Ratios Analysis &amp; Interptetation</t>
  </si>
  <si>
    <t>Earning Before Interest Tax Depeciation &amp; Amortization (EBITDA)</t>
  </si>
  <si>
    <t>PV of Terminal CF</t>
  </si>
  <si>
    <t>PAT</t>
  </si>
  <si>
    <t>Less: Non Controlling Interest</t>
  </si>
  <si>
    <t>Index</t>
  </si>
  <si>
    <t>Historical Financial Statement</t>
  </si>
  <si>
    <t>Assumptions</t>
  </si>
  <si>
    <t>Debt Schedule</t>
  </si>
  <si>
    <t>Ratio Analysis</t>
  </si>
  <si>
    <t>Comparables Analysis</t>
  </si>
  <si>
    <t>Inputs</t>
  </si>
  <si>
    <t>Calculation &amp; Analysis</t>
  </si>
  <si>
    <t>Outputs</t>
  </si>
  <si>
    <t>Company Description</t>
  </si>
  <si>
    <t>ISIN Code</t>
  </si>
  <si>
    <t>Sector Name</t>
  </si>
  <si>
    <t>Industry</t>
  </si>
  <si>
    <t>Exchange Name</t>
  </si>
  <si>
    <t>Website</t>
  </si>
  <si>
    <t>Current Market Price</t>
  </si>
  <si>
    <t>Basic Industry</t>
  </si>
  <si>
    <t>Asian Paint ltd</t>
  </si>
  <si>
    <t>INE021A01026</t>
  </si>
  <si>
    <t>Manufacturing</t>
  </si>
  <si>
    <t>Building Materials</t>
  </si>
  <si>
    <t>Paints &amp; Varnishes</t>
  </si>
  <si>
    <t xml:space="preserve"> BSE: 500820, NSE: ASIANPAINT</t>
  </si>
  <si>
    <t>https://www.asianpaints.com</t>
  </si>
  <si>
    <t>Asian Paints Ltd. is India’s leading paint and décor company, engaged in the manufacturing and sale of decorative and industrial paints, coatings, and home décor products. The company offers products such as interior and exterior paints, waterproofing solutions, wood finishes, adhesives, and wall coverings. It has a strong distribution network across India and also operates in several international markets.</t>
  </si>
  <si>
    <t>Company data</t>
  </si>
  <si>
    <t>Particulars</t>
  </si>
  <si>
    <t>No of Outstanding shares</t>
  </si>
  <si>
    <t>Nos</t>
  </si>
  <si>
    <t>Face Value per share</t>
  </si>
  <si>
    <t>Rs.</t>
  </si>
  <si>
    <t>Market Capitalisation</t>
  </si>
  <si>
    <t>Increase in Revenue  growth rate</t>
  </si>
  <si>
    <t>Perpetual Growth rate</t>
  </si>
  <si>
    <t>5 year Bond yield rate</t>
  </si>
  <si>
    <t>Interest rate</t>
  </si>
  <si>
    <t xml:space="preserve">Annual Growth Tapering </t>
  </si>
  <si>
    <t xml:space="preserve">Data from screener.in </t>
  </si>
  <si>
    <t>this data only for refrence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</si>
</sst>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 #,##0.00_ ;_ * \-#,##0.00_ ;_ * &quot;-&quot;??_ ;_ @_ "/>
    <numFmt numFmtId="164" formatCode="#,##0.00;\(#,##0.00\);\-"/>
    <numFmt numFmtId="165" formatCode="0&quot;A&quot;"/>
    <numFmt numFmtId="166" formatCode="0&quot;E&quot;"/>
    <numFmt numFmtId="167" formatCode="#,##0;\(#,##0\);0"/>
    <numFmt numFmtId="168" formatCode="#,##0;\(#,##0\);\-"/>
    <numFmt numFmtId="169" formatCode="#,##0.0;\(#,##0.0\);\-"/>
    <numFmt numFmtId="170" formatCode="0.0%"/>
    <numFmt numFmtId="171" formatCode="0.00\x"/>
    <numFmt numFmtId="172" formatCode="0.0"/>
    <numFmt numFmtId="173" formatCode="0.0\X"/>
    <numFmt numFmtId="174" formatCode="0.0&quot;x&quot;"/>
    <numFmt numFmtId="175" formatCode="0.0\x"/>
    <numFmt numFmtId="176" formatCode="#,##0;\(#,##0\)"/>
    <numFmt numFmtId="177" formatCode="#,##0.000;\(#,##0.000\);\-"/>
    <numFmt numFmtId="178" formatCode="&quot;₹&quot;\ #,##0.00"/>
    <numFmt numFmtId="179" formatCode="_ * #,##0_ ;_ * \-#,##0_ ;_ * &quot;-&quot;??_ ;_ @_ "/>
  </numFmts>
  <fonts count="33" x14ac:knownFonts="1">
    <font>
      <sz val="11"/>
      <color theme="1"/>
      <name val="Calibri"/>
      <family val="2"/>
    </font>
    <font>
      <sz val="11"/>
      <color theme="1"/>
      <name val="Calibri"/>
      <family val="2"/>
    </font>
    <font>
      <b/>
      <sz val="11"/>
      <color theme="0"/>
      <name val="Calibri"/>
      <family val="2"/>
    </font>
    <font>
      <b/>
      <sz val="11"/>
      <color theme="1"/>
      <name val="Calibri"/>
      <family val="2"/>
    </font>
    <font>
      <sz val="11"/>
      <color theme="0"/>
      <name val="Calibri"/>
      <family val="2"/>
    </font>
    <font>
      <b/>
      <u/>
      <sz val="11"/>
      <color theme="1"/>
      <name val="Calibri"/>
      <family val="2"/>
    </font>
    <font>
      <u/>
      <sz val="11"/>
      <color theme="1"/>
      <name val="Calibri"/>
      <family val="2"/>
    </font>
    <font>
      <b/>
      <sz val="22"/>
      <color theme="0"/>
      <name val="Calibri"/>
      <family val="2"/>
    </font>
    <font>
      <b/>
      <sz val="10"/>
      <color theme="0"/>
      <name val="Calibri"/>
      <family val="2"/>
    </font>
    <font>
      <b/>
      <sz val="14"/>
      <color theme="0"/>
      <name val="Calibri"/>
      <family val="2"/>
    </font>
    <font>
      <b/>
      <sz val="12"/>
      <color theme="1"/>
      <name val="Calibri"/>
      <family val="2"/>
    </font>
    <font>
      <i/>
      <sz val="8"/>
      <color theme="1"/>
      <name val="Calibri"/>
      <family val="2"/>
    </font>
    <font>
      <sz val="11"/>
      <color rgb="FF00B050"/>
      <name val="Calibri"/>
      <family val="2"/>
    </font>
    <font>
      <b/>
      <sz val="9"/>
      <color indexed="81"/>
      <name val="Tahoma"/>
      <family val="2"/>
    </font>
    <font>
      <sz val="9"/>
      <color indexed="81"/>
      <name val="Tahoma"/>
      <family val="2"/>
    </font>
    <font>
      <b/>
      <sz val="11"/>
      <color rgb="FF0070C0"/>
      <name val="Calibri"/>
      <family val="2"/>
    </font>
    <font>
      <sz val="11"/>
      <color rgb="FF0070C0"/>
      <name val="Calibri"/>
      <family val="2"/>
    </font>
    <font>
      <sz val="11"/>
      <color theme="0" tint="-4.9989318521683403E-2"/>
      <name val="Calibri"/>
      <family val="2"/>
    </font>
    <font>
      <sz val="9"/>
      <color theme="0"/>
      <name val="Calibri"/>
      <family val="2"/>
    </font>
    <font>
      <sz val="11"/>
      <color theme="0"/>
      <name val="Arial"/>
      <family val="2"/>
    </font>
    <font>
      <i/>
      <sz val="10"/>
      <color theme="1"/>
      <name val="Calibri"/>
      <family val="2"/>
    </font>
    <font>
      <b/>
      <sz val="11"/>
      <color theme="0" tint="-4.9989318521683403E-2"/>
      <name val="Calibri"/>
      <family val="2"/>
    </font>
    <font>
      <i/>
      <sz val="11"/>
      <color theme="1"/>
      <name val="Calibri"/>
      <family val="2"/>
    </font>
    <font>
      <b/>
      <sz val="11"/>
      <color theme="1"/>
      <name val="Calibri Light"/>
      <family val="1"/>
      <scheme val="major"/>
    </font>
    <font>
      <sz val="11"/>
      <color theme="1"/>
      <name val="Calibri Light"/>
      <family val="1"/>
      <scheme val="major"/>
    </font>
    <font>
      <u/>
      <sz val="11"/>
      <color theme="10"/>
      <name val="Calibri"/>
      <family val="2"/>
    </font>
    <font>
      <sz val="8"/>
      <name val="Calibri"/>
      <family val="2"/>
    </font>
    <font>
      <sz val="11"/>
      <color theme="1"/>
      <name val="Calibri"/>
      <family val="2"/>
      <scheme val="minor"/>
    </font>
    <font>
      <u/>
      <sz val="11"/>
      <color theme="10"/>
      <name val="Calibri"/>
      <family val="2"/>
      <scheme val="minor"/>
    </font>
    <font>
      <b/>
      <sz val="11"/>
      <color theme="1"/>
      <name val="Calibri Light"/>
      <family val="2"/>
      <scheme val="major"/>
    </font>
    <font>
      <b/>
      <u/>
      <sz val="11"/>
      <color theme="10"/>
      <name val="Calibri"/>
      <family val="2"/>
      <scheme val="minor"/>
    </font>
    <font>
      <sz val="11"/>
      <color theme="1"/>
      <name val="Calibri Light"/>
      <family val="2"/>
      <scheme val="major"/>
    </font>
    <font>
      <b/>
      <sz val="11"/>
      <color theme="0"/>
      <name val="Calibri Light"/>
      <family val="1"/>
      <scheme val="major"/>
    </font>
  </fonts>
  <fills count="8">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2" tint="-9.9978637043366805E-2"/>
        <bgColor indexed="64"/>
      </patternFill>
    </fill>
  </fills>
  <borders count="13">
    <border>
      <left/>
      <right/>
      <top/>
      <bottom/>
      <diagonal/>
    </border>
    <border>
      <left/>
      <right/>
      <top style="thin">
        <color auto="1"/>
      </top>
      <bottom/>
      <diagonal/>
    </border>
    <border>
      <left/>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bottom/>
      <diagonal/>
    </border>
    <border>
      <left/>
      <right/>
      <top/>
      <bottom style="medium">
        <color indexed="64"/>
      </bottom>
      <diagonal/>
    </border>
    <border>
      <left/>
      <right/>
      <top style="medium">
        <color indexed="64"/>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25" fillId="0" borderId="0" applyNumberFormat="0" applyFill="0" applyBorder="0" applyAlignment="0" applyProtection="0"/>
    <xf numFmtId="0" fontId="27" fillId="0" borderId="0"/>
    <xf numFmtId="43" fontId="27" fillId="0" borderId="0" applyFont="0" applyFill="0" applyBorder="0" applyAlignment="0" applyProtection="0"/>
    <xf numFmtId="0" fontId="28" fillId="0" borderId="0" applyNumberFormat="0" applyFill="0" applyBorder="0" applyAlignment="0" applyProtection="0"/>
  </cellStyleXfs>
  <cellXfs count="179">
    <xf numFmtId="0" fontId="0" fillId="0" borderId="0" xfId="0"/>
    <xf numFmtId="0" fontId="3" fillId="0" borderId="0" xfId="0" applyFont="1"/>
    <xf numFmtId="0" fontId="2" fillId="2" borderId="0" xfId="0" applyFont="1" applyFill="1"/>
    <xf numFmtId="0" fontId="4" fillId="2" borderId="0" xfId="0" applyFont="1" applyFill="1"/>
    <xf numFmtId="164" fontId="0" fillId="0" borderId="0" xfId="1" applyNumberFormat="1" applyFont="1" applyBorder="1"/>
    <xf numFmtId="0" fontId="3" fillId="0" borderId="1" xfId="0" applyFont="1" applyBorder="1"/>
    <xf numFmtId="0" fontId="0" fillId="0" borderId="1" xfId="0" applyBorder="1"/>
    <xf numFmtId="164" fontId="3" fillId="0" borderId="1" xfId="1" applyNumberFormat="1" applyFont="1" applyBorder="1"/>
    <xf numFmtId="0" fontId="5" fillId="0" borderId="0" xfId="0" applyFont="1"/>
    <xf numFmtId="4" fontId="3" fillId="0" borderId="0" xfId="0" applyNumberFormat="1" applyFont="1"/>
    <xf numFmtId="0" fontId="3" fillId="0" borderId="2" xfId="0" applyFont="1" applyBorder="1"/>
    <xf numFmtId="164" fontId="3" fillId="0" borderId="2" xfId="1" applyNumberFormat="1" applyFont="1" applyBorder="1"/>
    <xf numFmtId="4" fontId="0" fillId="0" borderId="0" xfId="0" applyNumberFormat="1"/>
    <xf numFmtId="0" fontId="0" fillId="0" borderId="2" xfId="0" applyBorder="1"/>
    <xf numFmtId="164" fontId="3" fillId="0" borderId="0" xfId="1" applyNumberFormat="1" applyFont="1" applyBorder="1"/>
    <xf numFmtId="0" fontId="6" fillId="0" borderId="0" xfId="0" applyFont="1"/>
    <xf numFmtId="0" fontId="7" fillId="2" borderId="0" xfId="0" applyFont="1" applyFill="1"/>
    <xf numFmtId="0" fontId="8" fillId="2" borderId="0" xfId="0" applyFont="1" applyFill="1"/>
    <xf numFmtId="165" fontId="2" fillId="2" borderId="0" xfId="0" applyNumberFormat="1" applyFont="1" applyFill="1"/>
    <xf numFmtId="166" fontId="2" fillId="2" borderId="0" xfId="0" applyNumberFormat="1" applyFont="1" applyFill="1"/>
    <xf numFmtId="0" fontId="9" fillId="2" borderId="0" xfId="0" applyFont="1" applyFill="1"/>
    <xf numFmtId="0" fontId="10" fillId="0" borderId="0" xfId="0" applyFont="1"/>
    <xf numFmtId="167" fontId="3" fillId="0" borderId="1" xfId="0" applyNumberFormat="1" applyFont="1" applyBorder="1"/>
    <xf numFmtId="164" fontId="3" fillId="0" borderId="1" xfId="0" applyNumberFormat="1" applyFont="1" applyBorder="1"/>
    <xf numFmtId="0" fontId="0" fillId="0" borderId="0" xfId="0" applyAlignment="1">
      <alignment vertical="top"/>
    </xf>
    <xf numFmtId="164" fontId="0" fillId="3" borderId="0" xfId="1" applyNumberFormat="1" applyFont="1" applyFill="1" applyBorder="1"/>
    <xf numFmtId="164" fontId="3" fillId="3" borderId="1" xfId="1" applyNumberFormat="1" applyFont="1" applyFill="1" applyBorder="1"/>
    <xf numFmtId="0" fontId="0" fillId="3" borderId="0" xfId="0" applyFill="1"/>
    <xf numFmtId="0" fontId="11" fillId="0" borderId="0" xfId="0" applyFont="1"/>
    <xf numFmtId="168" fontId="0" fillId="3" borderId="0" xfId="0" applyNumberFormat="1" applyFill="1"/>
    <xf numFmtId="168" fontId="12" fillId="3" borderId="0" xfId="0" applyNumberFormat="1" applyFont="1" applyFill="1"/>
    <xf numFmtId="0" fontId="3" fillId="3" borderId="0" xfId="0" applyFont="1" applyFill="1"/>
    <xf numFmtId="164" fontId="12" fillId="0" borderId="0" xfId="1" applyNumberFormat="1" applyFont="1" applyBorder="1"/>
    <xf numFmtId="0" fontId="2" fillId="2" borderId="0" xfId="0" applyFont="1" applyFill="1" applyAlignment="1">
      <alignment horizontal="center"/>
    </xf>
    <xf numFmtId="0" fontId="4" fillId="2" borderId="0" xfId="0" applyFont="1" applyFill="1" applyAlignment="1">
      <alignment horizontal="center"/>
    </xf>
    <xf numFmtId="164" fontId="3" fillId="3" borderId="2" xfId="0" applyNumberFormat="1" applyFont="1" applyFill="1" applyBorder="1"/>
    <xf numFmtId="169" fontId="12" fillId="3" borderId="0" xfId="0" applyNumberFormat="1" applyFont="1" applyFill="1"/>
    <xf numFmtId="0" fontId="3" fillId="0" borderId="3" xfId="0" applyFont="1" applyBorder="1"/>
    <xf numFmtId="0" fontId="0" fillId="0" borderId="3" xfId="0" applyBorder="1"/>
    <xf numFmtId="170" fontId="0" fillId="0" borderId="0" xfId="2" applyNumberFormat="1" applyFont="1"/>
    <xf numFmtId="10" fontId="0" fillId="0" borderId="0" xfId="2" applyNumberFormat="1" applyFont="1"/>
    <xf numFmtId="1" fontId="0" fillId="0" borderId="0" xfId="0" applyNumberFormat="1"/>
    <xf numFmtId="171" fontId="0" fillId="0" borderId="0" xfId="0" applyNumberFormat="1"/>
    <xf numFmtId="164" fontId="0" fillId="0" borderId="0" xfId="0" applyNumberFormat="1"/>
    <xf numFmtId="168" fontId="0" fillId="0" borderId="0" xfId="0" applyNumberFormat="1"/>
    <xf numFmtId="164" fontId="1" fillId="3" borderId="0" xfId="1" applyNumberFormat="1" applyFont="1" applyFill="1" applyBorder="1"/>
    <xf numFmtId="164" fontId="1" fillId="0" borderId="0" xfId="1" applyNumberFormat="1" applyFont="1" applyBorder="1"/>
    <xf numFmtId="170" fontId="15" fillId="0" borderId="0" xfId="0" applyNumberFormat="1" applyFont="1"/>
    <xf numFmtId="170" fontId="16" fillId="0" borderId="0" xfId="0" applyNumberFormat="1" applyFont="1"/>
    <xf numFmtId="0" fontId="17" fillId="0" borderId="0" xfId="0" applyFont="1"/>
    <xf numFmtId="0" fontId="0" fillId="4" borderId="4" xfId="0" applyFill="1" applyBorder="1"/>
    <xf numFmtId="169" fontId="0" fillId="3" borderId="0" xfId="0" applyNumberFormat="1" applyFill="1"/>
    <xf numFmtId="172" fontId="0" fillId="0" borderId="0" xfId="0" applyNumberFormat="1"/>
    <xf numFmtId="0" fontId="18" fillId="2" borderId="0" xfId="0" applyFont="1" applyFill="1"/>
    <xf numFmtId="0" fontId="4" fillId="2" borderId="0" xfId="0" applyFont="1" applyFill="1" applyAlignment="1">
      <alignment vertical="center"/>
    </xf>
    <xf numFmtId="0" fontId="4" fillId="2" borderId="0" xfId="0" applyFont="1" applyFill="1" applyAlignment="1">
      <alignment vertical="center" wrapText="1"/>
    </xf>
    <xf numFmtId="0" fontId="4" fillId="2" borderId="0" xfId="0" applyFont="1" applyFill="1" applyAlignment="1">
      <alignment horizontal="center" vertical="center"/>
    </xf>
    <xf numFmtId="2" fontId="0" fillId="0" borderId="0" xfId="0" applyNumberFormat="1"/>
    <xf numFmtId="173" fontId="0" fillId="0" borderId="0" xfId="0" applyNumberFormat="1"/>
    <xf numFmtId="174" fontId="2" fillId="2" borderId="0" xfId="0" applyNumberFormat="1" applyFont="1" applyFill="1"/>
    <xf numFmtId="174" fontId="0" fillId="0" borderId="0" xfId="0" applyNumberFormat="1"/>
    <xf numFmtId="169" fontId="0" fillId="0" borderId="0" xfId="0" applyNumberFormat="1"/>
    <xf numFmtId="9" fontId="0" fillId="0" borderId="0" xfId="0" applyNumberFormat="1"/>
    <xf numFmtId="0" fontId="3" fillId="5" borderId="0" xfId="0" applyFont="1" applyFill="1"/>
    <xf numFmtId="0" fontId="0" fillId="5" borderId="0" xfId="0" applyFill="1"/>
    <xf numFmtId="170" fontId="0" fillId="5" borderId="0" xfId="0" applyNumberFormat="1" applyFill="1"/>
    <xf numFmtId="2" fontId="0" fillId="5" borderId="0" xfId="0" applyNumberFormat="1" applyFill="1"/>
    <xf numFmtId="0" fontId="0" fillId="4" borderId="0" xfId="0" applyFill="1"/>
    <xf numFmtId="2" fontId="0" fillId="4" borderId="0" xfId="0" applyNumberFormat="1" applyFill="1"/>
    <xf numFmtId="170" fontId="0" fillId="4" borderId="0" xfId="2" applyNumberFormat="1" applyFont="1" applyFill="1"/>
    <xf numFmtId="10" fontId="0" fillId="4" borderId="0" xfId="2" applyNumberFormat="1" applyFont="1" applyFill="1"/>
    <xf numFmtId="164" fontId="0" fillId="4" borderId="0" xfId="1" applyNumberFormat="1" applyFont="1" applyFill="1" applyBorder="1"/>
    <xf numFmtId="170" fontId="0" fillId="0" borderId="0" xfId="0" applyNumberFormat="1"/>
    <xf numFmtId="170" fontId="12" fillId="0" borderId="0" xfId="2" applyNumberFormat="1" applyFont="1"/>
    <xf numFmtId="170" fontId="0" fillId="0" borderId="1" xfId="0" applyNumberFormat="1" applyBorder="1"/>
    <xf numFmtId="10" fontId="3" fillId="0" borderId="1" xfId="2" applyNumberFormat="1" applyFont="1" applyBorder="1"/>
    <xf numFmtId="10" fontId="3" fillId="0" borderId="2" xfId="2" applyNumberFormat="1" applyFont="1" applyBorder="1"/>
    <xf numFmtId="15" fontId="0" fillId="0" borderId="0" xfId="0" applyNumberFormat="1"/>
    <xf numFmtId="170" fontId="3" fillId="0" borderId="5" xfId="2" applyNumberFormat="1" applyFont="1" applyBorder="1"/>
    <xf numFmtId="14" fontId="0" fillId="0" borderId="0" xfId="0" applyNumberFormat="1"/>
    <xf numFmtId="175" fontId="12" fillId="0" borderId="0" xfId="0" applyNumberFormat="1" applyFont="1"/>
    <xf numFmtId="10" fontId="12" fillId="0" borderId="0" xfId="0" applyNumberFormat="1" applyFont="1"/>
    <xf numFmtId="172" fontId="12" fillId="0" borderId="0" xfId="0" applyNumberFormat="1" applyFont="1"/>
    <xf numFmtId="0" fontId="12" fillId="0" borderId="0" xfId="0" applyFont="1"/>
    <xf numFmtId="168" fontId="3" fillId="3" borderId="0" xfId="0" applyNumberFormat="1" applyFont="1" applyFill="1"/>
    <xf numFmtId="176" fontId="20" fillId="3" borderId="0" xfId="0" applyNumberFormat="1" applyFont="1" applyFill="1"/>
    <xf numFmtId="168" fontId="20" fillId="3" borderId="0" xfId="0" applyNumberFormat="1" applyFont="1" applyFill="1"/>
    <xf numFmtId="168" fontId="3" fillId="3" borderId="1" xfId="0" applyNumberFormat="1" applyFont="1" applyFill="1" applyBorder="1"/>
    <xf numFmtId="0" fontId="0" fillId="6" borderId="0" xfId="0" applyFill="1"/>
    <xf numFmtId="168" fontId="0" fillId="6" borderId="0" xfId="0" applyNumberFormat="1" applyFill="1"/>
    <xf numFmtId="168" fontId="0" fillId="6" borderId="2" xfId="0" applyNumberFormat="1" applyFill="1" applyBorder="1"/>
    <xf numFmtId="177" fontId="3" fillId="3" borderId="2" xfId="0" applyNumberFormat="1" applyFont="1" applyFill="1" applyBorder="1"/>
    <xf numFmtId="166" fontId="3" fillId="0" borderId="0" xfId="0" applyNumberFormat="1" applyFont="1"/>
    <xf numFmtId="168" fontId="0" fillId="3" borderId="3" xfId="0" applyNumberFormat="1" applyFill="1" applyBorder="1"/>
    <xf numFmtId="168" fontId="3" fillId="3" borderId="3" xfId="0" applyNumberFormat="1" applyFont="1" applyFill="1" applyBorder="1"/>
    <xf numFmtId="170" fontId="0" fillId="3" borderId="0" xfId="2" applyNumberFormat="1" applyFont="1" applyFill="1"/>
    <xf numFmtId="168" fontId="0" fillId="0" borderId="1" xfId="0" applyNumberFormat="1" applyBorder="1"/>
    <xf numFmtId="168" fontId="0" fillId="3" borderId="2" xfId="0" applyNumberFormat="1" applyFill="1" applyBorder="1"/>
    <xf numFmtId="168" fontId="3" fillId="6" borderId="0" xfId="0" applyNumberFormat="1" applyFont="1" applyFill="1"/>
    <xf numFmtId="168" fontId="21" fillId="0" borderId="6" xfId="0" applyNumberFormat="1" applyFont="1" applyBorder="1"/>
    <xf numFmtId="174" fontId="3" fillId="3" borderId="0" xfId="0" applyNumberFormat="1" applyFont="1" applyFill="1"/>
    <xf numFmtId="170" fontId="3" fillId="3" borderId="6" xfId="2" applyNumberFormat="1" applyFont="1" applyFill="1" applyBorder="1"/>
    <xf numFmtId="168" fontId="0" fillId="5" borderId="0" xfId="0" applyNumberFormat="1" applyFill="1"/>
    <xf numFmtId="10" fontId="3" fillId="3" borderId="6" xfId="2" applyNumberFormat="1" applyFont="1" applyFill="1" applyBorder="1"/>
    <xf numFmtId="164" fontId="3" fillId="3" borderId="0" xfId="1" applyNumberFormat="1" applyFont="1" applyFill="1" applyBorder="1"/>
    <xf numFmtId="164" fontId="3" fillId="3" borderId="2" xfId="1" applyNumberFormat="1" applyFont="1" applyFill="1" applyBorder="1"/>
    <xf numFmtId="17" fontId="0" fillId="0" borderId="0" xfId="0" applyNumberFormat="1"/>
    <xf numFmtId="2" fontId="0" fillId="0" borderId="5" xfId="0" applyNumberFormat="1" applyBorder="1"/>
    <xf numFmtId="17" fontId="3" fillId="0" borderId="0" xfId="0" applyNumberFormat="1" applyFont="1"/>
    <xf numFmtId="0" fontId="0" fillId="0" borderId="5" xfId="0" applyBorder="1"/>
    <xf numFmtId="0" fontId="0" fillId="0" borderId="7" xfId="0" applyBorder="1"/>
    <xf numFmtId="0" fontId="22" fillId="0" borderId="8" xfId="0" applyFont="1" applyBorder="1" applyAlignment="1">
      <alignment horizontal="center"/>
    </xf>
    <xf numFmtId="0" fontId="22" fillId="0" borderId="8" xfId="0" applyFont="1" applyBorder="1" applyAlignment="1">
      <alignment horizontal="centerContinuous"/>
    </xf>
    <xf numFmtId="1" fontId="3" fillId="0" borderId="5" xfId="0" applyNumberFormat="1" applyFont="1" applyBorder="1"/>
    <xf numFmtId="0" fontId="24" fillId="0" borderId="6" xfId="0" applyFont="1" applyBorder="1" applyAlignment="1">
      <alignment vertical="center"/>
    </xf>
    <xf numFmtId="0" fontId="24" fillId="0" borderId="0" xfId="0" applyFont="1" applyAlignment="1">
      <alignment vertical="center"/>
    </xf>
    <xf numFmtId="9" fontId="0" fillId="0" borderId="0" xfId="2" applyFont="1"/>
    <xf numFmtId="2" fontId="0" fillId="0" borderId="0" xfId="2" applyNumberFormat="1" applyFont="1"/>
    <xf numFmtId="170" fontId="0" fillId="6" borderId="0" xfId="2" applyNumberFormat="1" applyFont="1" applyFill="1"/>
    <xf numFmtId="2" fontId="0" fillId="6" borderId="0" xfId="2" applyNumberFormat="1" applyFont="1" applyFill="1"/>
    <xf numFmtId="2" fontId="0" fillId="6" borderId="0" xfId="0" applyNumberFormat="1" applyFill="1"/>
    <xf numFmtId="1" fontId="0" fillId="6" borderId="0" xfId="0" applyNumberFormat="1" applyFill="1"/>
    <xf numFmtId="172" fontId="0" fillId="6" borderId="0" xfId="0" applyNumberFormat="1" applyFill="1"/>
    <xf numFmtId="9" fontId="0" fillId="6" borderId="0" xfId="2" applyFont="1" applyFill="1"/>
    <xf numFmtId="0" fontId="23" fillId="7" borderId="6" xfId="0" applyFont="1" applyFill="1" applyBorder="1" applyAlignment="1">
      <alignment vertical="center"/>
    </xf>
    <xf numFmtId="0" fontId="0" fillId="7" borderId="0" xfId="0" applyFill="1"/>
    <xf numFmtId="0" fontId="23" fillId="7" borderId="0" xfId="0" applyFont="1" applyFill="1" applyAlignment="1">
      <alignment vertical="center"/>
    </xf>
    <xf numFmtId="10" fontId="0" fillId="6" borderId="0" xfId="0" applyNumberFormat="1" applyFill="1"/>
    <xf numFmtId="171" fontId="0" fillId="6" borderId="0" xfId="0" applyNumberFormat="1" applyFill="1"/>
    <xf numFmtId="164" fontId="0" fillId="6" borderId="0" xfId="1" applyNumberFormat="1" applyFont="1" applyFill="1" applyBorder="1"/>
    <xf numFmtId="164" fontId="3" fillId="6" borderId="1" xfId="1" applyNumberFormat="1" applyFont="1" applyFill="1" applyBorder="1"/>
    <xf numFmtId="164" fontId="3" fillId="6" borderId="1" xfId="0" applyNumberFormat="1" applyFont="1" applyFill="1" applyBorder="1"/>
    <xf numFmtId="164" fontId="3" fillId="6" borderId="2" xfId="1" applyNumberFormat="1" applyFont="1" applyFill="1" applyBorder="1"/>
    <xf numFmtId="168" fontId="12" fillId="6" borderId="0" xfId="0" applyNumberFormat="1" applyFont="1" applyFill="1"/>
    <xf numFmtId="169" fontId="0" fillId="6" borderId="0" xfId="0" applyNumberFormat="1" applyFill="1"/>
    <xf numFmtId="164" fontId="3" fillId="6" borderId="2" xfId="0" applyNumberFormat="1" applyFont="1" applyFill="1" applyBorder="1"/>
    <xf numFmtId="164" fontId="0" fillId="6" borderId="0" xfId="0" applyNumberFormat="1" applyFill="1"/>
    <xf numFmtId="4" fontId="0" fillId="6" borderId="0" xfId="0" applyNumberFormat="1" applyFill="1"/>
    <xf numFmtId="168" fontId="3" fillId="4" borderId="0" xfId="0" applyNumberFormat="1" applyFont="1" applyFill="1"/>
    <xf numFmtId="0" fontId="25" fillId="0" borderId="0" xfId="3"/>
    <xf numFmtId="0" fontId="3" fillId="6" borderId="0" xfId="0" applyFont="1" applyFill="1"/>
    <xf numFmtId="0" fontId="23" fillId="0" borderId="9" xfId="4" applyFont="1" applyBorder="1" applyAlignment="1">
      <alignment horizontal="left"/>
    </xf>
    <xf numFmtId="0" fontId="23" fillId="0" borderId="2" xfId="4" applyFont="1" applyBorder="1" applyAlignment="1">
      <alignment horizontal="left"/>
    </xf>
    <xf numFmtId="0" fontId="23" fillId="0" borderId="10" xfId="4" applyFont="1" applyBorder="1" applyAlignment="1">
      <alignment horizontal="left"/>
    </xf>
    <xf numFmtId="0" fontId="32" fillId="2" borderId="5" xfId="4" applyFont="1" applyFill="1" applyBorder="1"/>
    <xf numFmtId="0" fontId="32" fillId="2" borderId="5" xfId="4" applyFont="1" applyFill="1" applyBorder="1" applyAlignment="1">
      <alignment vertical="center"/>
    </xf>
    <xf numFmtId="0" fontId="29" fillId="0" borderId="9" xfId="4" applyFont="1" applyBorder="1" applyAlignment="1">
      <alignment horizontal="center"/>
    </xf>
    <xf numFmtId="0" fontId="29" fillId="0" borderId="2" xfId="4" applyFont="1" applyBorder="1" applyAlignment="1">
      <alignment horizontal="center"/>
    </xf>
    <xf numFmtId="0" fontId="29" fillId="0" borderId="10" xfId="4" applyFont="1" applyBorder="1" applyAlignment="1">
      <alignment horizontal="center"/>
    </xf>
    <xf numFmtId="0" fontId="29" fillId="0" borderId="12" xfId="4" applyFont="1" applyBorder="1"/>
    <xf numFmtId="0" fontId="29" fillId="0" borderId="11" xfId="4" applyFont="1" applyBorder="1"/>
    <xf numFmtId="0" fontId="23" fillId="0" borderId="5" xfId="4" applyFont="1" applyBorder="1"/>
    <xf numFmtId="0" fontId="23" fillId="0" borderId="5" xfId="4" applyFont="1" applyBorder="1" applyAlignment="1">
      <alignment horizontal="center" vertical="top"/>
    </xf>
    <xf numFmtId="10" fontId="27" fillId="0" borderId="5" xfId="4" applyNumberFormat="1" applyBorder="1"/>
    <xf numFmtId="10" fontId="24" fillId="0" borderId="5" xfId="4" applyNumberFormat="1" applyFont="1" applyBorder="1"/>
    <xf numFmtId="179" fontId="31" fillId="0" borderId="6" xfId="5" applyNumberFormat="1" applyFont="1" applyBorder="1"/>
    <xf numFmtId="178" fontId="31" fillId="0" borderId="6" xfId="5" applyNumberFormat="1" applyFont="1" applyBorder="1"/>
    <xf numFmtId="3" fontId="0" fillId="0" borderId="0" xfId="0" applyNumberFormat="1"/>
    <xf numFmtId="0" fontId="31" fillId="0" borderId="0" xfId="4" applyFont="1" applyAlignment="1">
      <alignment horizontal="center"/>
    </xf>
    <xf numFmtId="0" fontId="31" fillId="0" borderId="3" xfId="4" applyFont="1" applyBorder="1" applyAlignment="1">
      <alignment horizontal="center"/>
    </xf>
    <xf numFmtId="0" fontId="31" fillId="0" borderId="5" xfId="4" applyFont="1" applyBorder="1" applyAlignment="1">
      <alignment horizontal="center"/>
    </xf>
    <xf numFmtId="1" fontId="3" fillId="0" borderId="0" xfId="0" applyNumberFormat="1" applyFont="1"/>
    <xf numFmtId="0" fontId="2" fillId="2" borderId="0" xfId="0" applyFont="1" applyFill="1" applyAlignment="1">
      <alignment horizontal="center"/>
    </xf>
    <xf numFmtId="0" fontId="4" fillId="2" borderId="0" xfId="0" applyFont="1" applyFill="1" applyAlignment="1">
      <alignment horizontal="center"/>
    </xf>
    <xf numFmtId="0" fontId="23" fillId="0" borderId="5" xfId="4" applyFont="1" applyBorder="1" applyAlignment="1">
      <alignment horizontal="left"/>
    </xf>
    <xf numFmtId="0" fontId="32" fillId="2" borderId="9" xfId="4" applyFont="1" applyFill="1" applyBorder="1" applyAlignment="1">
      <alignment horizontal="center"/>
    </xf>
    <xf numFmtId="0" fontId="32" fillId="2" borderId="2" xfId="4" applyFont="1" applyFill="1" applyBorder="1" applyAlignment="1">
      <alignment horizontal="center"/>
    </xf>
    <xf numFmtId="0" fontId="32" fillId="2" borderId="10" xfId="4" applyFont="1" applyFill="1" applyBorder="1" applyAlignment="1">
      <alignment horizontal="center"/>
    </xf>
    <xf numFmtId="0" fontId="23" fillId="0" borderId="9" xfId="4" applyFont="1" applyBorder="1" applyAlignment="1">
      <alignment horizontal="left" wrapText="1"/>
    </xf>
    <xf numFmtId="0" fontId="23" fillId="0" borderId="2" xfId="4" applyFont="1" applyBorder="1" applyAlignment="1">
      <alignment horizontal="left" wrapText="1"/>
    </xf>
    <xf numFmtId="0" fontId="23" fillId="0" borderId="10" xfId="4" applyFont="1" applyBorder="1" applyAlignment="1">
      <alignment horizontal="left" wrapText="1"/>
    </xf>
    <xf numFmtId="0" fontId="25" fillId="0" borderId="9" xfId="3" applyBorder="1" applyAlignment="1">
      <alignment horizontal="left"/>
    </xf>
    <xf numFmtId="0" fontId="30" fillId="0" borderId="2" xfId="6" applyFont="1" applyBorder="1" applyAlignment="1">
      <alignment horizontal="left"/>
    </xf>
    <xf numFmtId="0" fontId="30" fillId="0" borderId="10" xfId="6" applyFont="1" applyBorder="1" applyAlignment="1">
      <alignment horizontal="left"/>
    </xf>
    <xf numFmtId="178" fontId="23" fillId="0" borderId="9" xfId="4" applyNumberFormat="1" applyFont="1" applyBorder="1" applyAlignment="1">
      <alignment horizontal="center"/>
    </xf>
    <xf numFmtId="178" fontId="23" fillId="0" borderId="2" xfId="4" applyNumberFormat="1" applyFont="1" applyBorder="1" applyAlignment="1">
      <alignment horizontal="center"/>
    </xf>
    <xf numFmtId="178" fontId="23" fillId="0" borderId="10" xfId="4" applyNumberFormat="1" applyFont="1" applyBorder="1" applyAlignment="1">
      <alignment horizontal="center"/>
    </xf>
    <xf numFmtId="168" fontId="3" fillId="3" borderId="3" xfId="0" applyNumberFormat="1" applyFont="1" applyFill="1" applyBorder="1" applyAlignment="1">
      <alignment horizontal="center"/>
    </xf>
    <xf numFmtId="168" fontId="3" fillId="3" borderId="0" xfId="0" applyNumberFormat="1" applyFont="1" applyFill="1" applyAlignment="1">
      <alignment horizontal="right" textRotation="180"/>
    </xf>
  </cellXfs>
  <cellStyles count="7">
    <cellStyle name="Comma" xfId="1" builtinId="3"/>
    <cellStyle name="Comma 2" xfId="5" xr:uid="{36390329-E8A3-43A6-8231-22FF93790A10}"/>
    <cellStyle name="Hyperlink" xfId="3" builtinId="8"/>
    <cellStyle name="Hyperlink 2" xfId="6" xr:uid="{76BF59AD-B82D-4038-B01E-1DCD956B1B0C}"/>
    <cellStyle name="Normal" xfId="0" builtinId="0"/>
    <cellStyle name="Normal 2" xfId="4" xr:uid="{E4EE0D3A-406B-4EDD-A6B5-5054BB772BA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Drop" dropLines="4" dropStyle="combo" dx="26" fmlaLink="$E$10" fmlaRange="Scenario!$B$8:$B$10" noThreeD="1" sel="1" val="0"/>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2</xdr:colOff>
      <xdr:row>5</xdr:row>
      <xdr:rowOff>10027</xdr:rowOff>
    </xdr:from>
    <xdr:to>
      <xdr:col>20</xdr:col>
      <xdr:colOff>200529</xdr:colOff>
      <xdr:row>16</xdr:row>
      <xdr:rowOff>92852</xdr:rowOff>
    </xdr:to>
    <xdr:pic>
      <xdr:nvPicPr>
        <xdr:cNvPr id="2" name="Picture 1">
          <a:extLst>
            <a:ext uri="{FF2B5EF4-FFF2-40B4-BE49-F238E27FC236}">
              <a16:creationId xmlns:a16="http://schemas.microsoft.com/office/drawing/2014/main" id="{DA7A1A7B-8A20-CEC0-EAD7-EC4CDFBC0761}"/>
            </a:ext>
          </a:extLst>
        </xdr:cNvPr>
        <xdr:cNvPicPr>
          <a:picLocks noChangeAspect="1"/>
        </xdr:cNvPicPr>
      </xdr:nvPicPr>
      <xdr:blipFill>
        <a:blip xmlns:r="http://schemas.openxmlformats.org/officeDocument/2006/relationships" r:embed="rId1"/>
        <a:stretch>
          <a:fillRect/>
        </a:stretch>
      </xdr:blipFill>
      <xdr:spPr>
        <a:xfrm>
          <a:off x="5995739" y="1092869"/>
          <a:ext cx="8151394" cy="2799957"/>
        </a:xfrm>
        <a:prstGeom prst="rect">
          <a:avLst/>
        </a:prstGeom>
      </xdr:spPr>
    </xdr:pic>
    <xdr:clientData/>
  </xdr:twoCellAnchor>
  <xdr:twoCellAnchor editAs="oneCell">
    <xdr:from>
      <xdr:col>7</xdr:col>
      <xdr:colOff>1</xdr:colOff>
      <xdr:row>16</xdr:row>
      <xdr:rowOff>100263</xdr:rowOff>
    </xdr:from>
    <xdr:to>
      <xdr:col>20</xdr:col>
      <xdr:colOff>196162</xdr:colOff>
      <xdr:row>26</xdr:row>
      <xdr:rowOff>70184</xdr:rowOff>
    </xdr:to>
    <xdr:pic>
      <xdr:nvPicPr>
        <xdr:cNvPr id="3" name="Picture 2">
          <a:extLst>
            <a:ext uri="{FF2B5EF4-FFF2-40B4-BE49-F238E27FC236}">
              <a16:creationId xmlns:a16="http://schemas.microsoft.com/office/drawing/2014/main" id="{3DD78519-E8D4-68C4-BD16-A9472A0BAD67}"/>
            </a:ext>
          </a:extLst>
        </xdr:cNvPr>
        <xdr:cNvPicPr>
          <a:picLocks noChangeAspect="1"/>
        </xdr:cNvPicPr>
      </xdr:nvPicPr>
      <xdr:blipFill>
        <a:blip xmlns:r="http://schemas.openxmlformats.org/officeDocument/2006/relationships" r:embed="rId2"/>
        <a:stretch>
          <a:fillRect/>
        </a:stretch>
      </xdr:blipFill>
      <xdr:spPr>
        <a:xfrm>
          <a:off x="5995738" y="3900237"/>
          <a:ext cx="8147028" cy="17746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3657600</xdr:colOff>
          <xdr:row>8</xdr:row>
          <xdr:rowOff>160020</xdr:rowOff>
        </xdr:from>
        <xdr:to>
          <xdr:col>2</xdr:col>
          <xdr:colOff>601980</xdr:colOff>
          <xdr:row>9</xdr:row>
          <xdr:rowOff>175260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371061</xdr:colOff>
      <xdr:row>13</xdr:row>
      <xdr:rowOff>26504</xdr:rowOff>
    </xdr:from>
    <xdr:to>
      <xdr:col>7</xdr:col>
      <xdr:colOff>576469</xdr:colOff>
      <xdr:row>18</xdr:row>
      <xdr:rowOff>86139</xdr:rowOff>
    </xdr:to>
    <xdr:sp macro="" textlink="">
      <xdr:nvSpPr>
        <xdr:cNvPr id="5" name="TextBox 4">
          <a:extLst>
            <a:ext uri="{FF2B5EF4-FFF2-40B4-BE49-F238E27FC236}">
              <a16:creationId xmlns:a16="http://schemas.microsoft.com/office/drawing/2014/main" id="{D8B80AB5-33CF-D2F0-47DF-9140B36B755A}"/>
            </a:ext>
          </a:extLst>
        </xdr:cNvPr>
        <xdr:cNvSpPr txBox="1"/>
      </xdr:nvSpPr>
      <xdr:spPr>
        <a:xfrm>
          <a:off x="503583" y="2617304"/>
          <a:ext cx="5380382" cy="9872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Revenue Assumption </a:t>
          </a:r>
          <a:r>
            <a:rPr lang="en-IN" sz="1000"/>
            <a:t>					We use management guidance as the basis for our revenue growth assumptions. Management </a:t>
          </a:r>
          <a:r>
            <a:rPr lang="en-IN" sz="1000" b="0"/>
            <a:t>expects revenue growth to improve gradually, and therefore we assume a 0.3% annual increase in revenue growth during the forecast period. This reflects management’s expectations of improving demand, business expansion, and growth opportunities rather than relying solely on historical averages.</a:t>
          </a:r>
        </a:p>
      </xdr:txBody>
    </xdr:sp>
    <xdr:clientData/>
  </xdr:twoCellAnchor>
  <xdr:twoCellAnchor>
    <xdr:from>
      <xdr:col>1</xdr:col>
      <xdr:colOff>357809</xdr:colOff>
      <xdr:row>19</xdr:row>
      <xdr:rowOff>132521</xdr:rowOff>
    </xdr:from>
    <xdr:to>
      <xdr:col>7</xdr:col>
      <xdr:colOff>583095</xdr:colOff>
      <xdr:row>27</xdr:row>
      <xdr:rowOff>106018</xdr:rowOff>
    </xdr:to>
    <xdr:sp macro="" textlink="">
      <xdr:nvSpPr>
        <xdr:cNvPr id="6" name="TextBox 5">
          <a:extLst>
            <a:ext uri="{FF2B5EF4-FFF2-40B4-BE49-F238E27FC236}">
              <a16:creationId xmlns:a16="http://schemas.microsoft.com/office/drawing/2014/main" id="{63F4840D-74AA-1879-02BF-9A7813C99BCA}"/>
            </a:ext>
          </a:extLst>
        </xdr:cNvPr>
        <xdr:cNvSpPr txBox="1"/>
      </xdr:nvSpPr>
      <xdr:spPr>
        <a:xfrm>
          <a:off x="490331" y="3836504"/>
          <a:ext cx="5400260" cy="1457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IN" sz="1000" b="1"/>
            <a:t>Bull Case:</a:t>
          </a:r>
          <a:r>
            <a:rPr lang="en-IN" sz="1000"/>
            <a:t> 				</a:t>
          </a:r>
          <a:r>
            <a:rPr lang="en-IN" sz="1000" b="0"/>
            <a:t>	Management expects revenue growth of 12% in 2027, . We model a 0.1% annual increase in the growth assumption to reflect optimistic market share gains, premium product mix improvement, and stronger demand conditions</a:t>
          </a:r>
          <a:r>
            <a:rPr lang="en-IN" sz="1000"/>
            <a:t>			</a:t>
          </a:r>
          <a:r>
            <a:rPr lang="en-IN" sz="1000" baseline="0"/>
            <a:t>               </a:t>
          </a:r>
          <a:r>
            <a:rPr lang="en-IN" sz="1000" b="1"/>
            <a:t>Bear Case:</a:t>
          </a:r>
          <a:br>
            <a:rPr lang="en-IN" sz="1000"/>
          </a:br>
          <a:r>
            <a:rPr lang="en-IN" sz="1000" b="0"/>
            <a:t>Management expects revenue growth of 5% in 2027 We model a 0.1% annual increase in the growth assumption to reflect slower market growth, competitive pressure, and cautious business expansion..</a:t>
          </a:r>
        </a:p>
        <a:p>
          <a:endParaRPr lang="en-IN" sz="1100"/>
        </a:p>
      </xdr:txBody>
    </xdr:sp>
    <xdr:clientData/>
  </xdr:twoCellAnchor>
  <xdr:twoCellAnchor>
    <xdr:from>
      <xdr:col>1</xdr:col>
      <xdr:colOff>351183</xdr:colOff>
      <xdr:row>29</xdr:row>
      <xdr:rowOff>13252</xdr:rowOff>
    </xdr:from>
    <xdr:to>
      <xdr:col>7</xdr:col>
      <xdr:colOff>463827</xdr:colOff>
      <xdr:row>35</xdr:row>
      <xdr:rowOff>53008</xdr:rowOff>
    </xdr:to>
    <xdr:sp macro="" textlink="">
      <xdr:nvSpPr>
        <xdr:cNvPr id="7" name="TextBox 6">
          <a:extLst>
            <a:ext uri="{FF2B5EF4-FFF2-40B4-BE49-F238E27FC236}">
              <a16:creationId xmlns:a16="http://schemas.microsoft.com/office/drawing/2014/main" id="{E04E731D-F7E8-0FA9-5EA6-8B6C21F25DC7}"/>
            </a:ext>
          </a:extLst>
        </xdr:cNvPr>
        <xdr:cNvSpPr txBox="1"/>
      </xdr:nvSpPr>
      <xdr:spPr>
        <a:xfrm>
          <a:off x="483705" y="5572539"/>
          <a:ext cx="5287618" cy="11529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IN" sz="1000" b="1"/>
            <a:t>Perpetual Growth Rate Assumption:</a:t>
          </a:r>
          <a:endParaRPr lang="en-IN" sz="1000"/>
        </a:p>
        <a:p>
          <a:pPr rtl="0"/>
          <a:r>
            <a:rPr lang="en-IN" sz="1000"/>
            <a:t>We have assumed a perpetual growth rate of 7% based on data from Trading Economics, which shows India's Economic Growth rate at 7% for the next 5 years. This is a realistic terminal growth rate that aligns with the country's medium-term GDP growth trajectory and is more sustainable than higher long-term assumptions. The model has been adjusted accordingly to reflect 7% as the terminal growth rate.</a:t>
          </a:r>
        </a:p>
        <a:p>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158750</xdr:colOff>
      <xdr:row>85</xdr:row>
      <xdr:rowOff>134937</xdr:rowOff>
    </xdr:from>
    <xdr:to>
      <xdr:col>1</xdr:col>
      <xdr:colOff>4945064</xdr:colOff>
      <xdr:row>92</xdr:row>
      <xdr:rowOff>71436</xdr:rowOff>
    </xdr:to>
    <xdr:sp macro="" textlink="">
      <xdr:nvSpPr>
        <xdr:cNvPr id="2" name="TextBox 1">
          <a:extLst>
            <a:ext uri="{FF2B5EF4-FFF2-40B4-BE49-F238E27FC236}">
              <a16:creationId xmlns:a16="http://schemas.microsoft.com/office/drawing/2014/main" id="{F48C6A11-5E4F-2779-0FA4-AF987940ECC6}"/>
            </a:ext>
          </a:extLst>
        </xdr:cNvPr>
        <xdr:cNvSpPr txBox="1"/>
      </xdr:nvSpPr>
      <xdr:spPr>
        <a:xfrm>
          <a:off x="428625" y="15835312"/>
          <a:ext cx="4786314" cy="12144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Q.  Why all years closing cash balance is not matched from balance sheet cash					</a:t>
          </a:r>
          <a:r>
            <a:rPr lang="en-IN" sz="1100"/>
            <a:t>	</a:t>
          </a:r>
          <a:r>
            <a:rPr lang="en-IN"/>
            <a:t>The company counts liquid mutual funds as "cash equivalents" in the cash flow statement because they can be converted to cash instantly, but shows them as "investments" in the balance sheet. The difference is just mutual funds. This is the company's accounting policy every year</a:t>
          </a:r>
          <a:r>
            <a:rPr lang="en-IN" baseline="0"/>
            <a:t> </a:t>
          </a:r>
          <a:r>
            <a:rPr lang="en-IN"/>
            <a:t>not an error.</a:t>
          </a:r>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asianpaints.com/"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3" Type="http://schemas.openxmlformats.org/officeDocument/2006/relationships/hyperlink" Target="https://www.screener.in/company/KANSAINER/consolidated/" TargetMode="External"/><Relationship Id="rId7" Type="http://schemas.openxmlformats.org/officeDocument/2006/relationships/hyperlink" Target="https://www.screener.in/company/SHALPAINTS/consolidated/" TargetMode="External"/><Relationship Id="rId2" Type="http://schemas.openxmlformats.org/officeDocument/2006/relationships/hyperlink" Target="https://www.screener.in/company/BERGEPAINT/consolidated/" TargetMode="External"/><Relationship Id="rId1" Type="http://schemas.openxmlformats.org/officeDocument/2006/relationships/hyperlink" Target="https://www.screener.in/company/ASIANPAINT/consolidated/" TargetMode="External"/><Relationship Id="rId6" Type="http://schemas.openxmlformats.org/officeDocument/2006/relationships/hyperlink" Target="https://www.screener.in/company/SIRCA/" TargetMode="External"/><Relationship Id="rId5" Type="http://schemas.openxmlformats.org/officeDocument/2006/relationships/hyperlink" Target="https://www.screener.in/company/INDIGOPNTS/" TargetMode="External"/><Relationship Id="rId4" Type="http://schemas.openxmlformats.org/officeDocument/2006/relationships/hyperlink" Target="https://www.screener.in/company/JSWDULUX/consolidat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17AD5-A704-4469-AEEF-DA3149BF7F1B}">
  <dimension ref="B2:K25"/>
  <sheetViews>
    <sheetView showGridLines="0" workbookViewId="0">
      <selection activeCell="B2" sqref="B2:K4"/>
    </sheetView>
  </sheetViews>
  <sheetFormatPr defaultRowHeight="14.4" x14ac:dyDescent="0.3"/>
  <cols>
    <col min="1" max="1" width="3.109375" customWidth="1"/>
    <col min="2" max="2" width="30.88671875" bestFit="1" customWidth="1"/>
  </cols>
  <sheetData>
    <row r="2" spans="2:11" ht="28.8" x14ac:dyDescent="0.55000000000000004">
      <c r="B2" s="16" t="s">
        <v>160</v>
      </c>
      <c r="C2" s="3"/>
      <c r="D2" s="3"/>
      <c r="E2" s="3"/>
      <c r="F2" s="3"/>
      <c r="G2" s="3"/>
      <c r="H2" s="3"/>
      <c r="I2" s="3"/>
      <c r="J2" s="3"/>
      <c r="K2" s="3"/>
    </row>
    <row r="3" spans="2:11" x14ac:dyDescent="0.3">
      <c r="B3" s="17" t="s">
        <v>161</v>
      </c>
      <c r="C3" s="3"/>
      <c r="D3" s="3"/>
      <c r="E3" s="3"/>
      <c r="F3" s="3"/>
      <c r="G3" s="3"/>
      <c r="H3" s="3"/>
      <c r="I3" s="3"/>
      <c r="J3" s="3"/>
      <c r="K3" s="3"/>
    </row>
    <row r="4" spans="2:11" x14ac:dyDescent="0.3">
      <c r="B4" s="2" t="s">
        <v>459</v>
      </c>
      <c r="C4" s="3"/>
      <c r="D4" s="3"/>
      <c r="E4" s="3"/>
      <c r="F4" s="3"/>
      <c r="G4" s="3"/>
      <c r="H4" s="3"/>
      <c r="I4" s="3"/>
      <c r="J4" s="3"/>
      <c r="K4" s="3"/>
    </row>
    <row r="6" spans="2:11" x14ac:dyDescent="0.3">
      <c r="B6" s="140" t="s">
        <v>465</v>
      </c>
      <c r="C6" s="88"/>
      <c r="D6" s="88"/>
      <c r="E6" s="88"/>
      <c r="F6" s="88"/>
      <c r="G6" s="88"/>
      <c r="H6" s="88"/>
      <c r="I6" s="88"/>
      <c r="J6" s="88"/>
      <c r="K6" s="88"/>
    </row>
    <row r="7" spans="2:11" x14ac:dyDescent="0.3">
      <c r="B7" s="139" t="s">
        <v>460</v>
      </c>
    </row>
    <row r="8" spans="2:11" x14ac:dyDescent="0.3">
      <c r="B8" s="139" t="s">
        <v>266</v>
      </c>
    </row>
    <row r="9" spans="2:11" x14ac:dyDescent="0.3">
      <c r="B9" t="s">
        <v>461</v>
      </c>
    </row>
    <row r="11" spans="2:11" x14ac:dyDescent="0.3">
      <c r="B11" s="140" t="s">
        <v>466</v>
      </c>
      <c r="C11" s="88"/>
      <c r="D11" s="88"/>
      <c r="E11" s="88"/>
      <c r="F11" s="88"/>
      <c r="G11" s="88"/>
      <c r="H11" s="88"/>
      <c r="I11" s="88"/>
      <c r="J11" s="88"/>
      <c r="K11" s="88"/>
    </row>
    <row r="12" spans="2:11" x14ac:dyDescent="0.3">
      <c r="B12" s="139" t="s">
        <v>162</v>
      </c>
    </row>
    <row r="13" spans="2:11" x14ac:dyDescent="0.3">
      <c r="B13" s="139" t="s">
        <v>180</v>
      </c>
    </row>
    <row r="14" spans="2:11" x14ac:dyDescent="0.3">
      <c r="B14" s="139" t="s">
        <v>203</v>
      </c>
    </row>
    <row r="15" spans="2:11" x14ac:dyDescent="0.3">
      <c r="B15" s="139" t="s">
        <v>224</v>
      </c>
    </row>
    <row r="16" spans="2:11" x14ac:dyDescent="0.3">
      <c r="B16" s="139" t="s">
        <v>255</v>
      </c>
    </row>
    <row r="17" spans="2:11" x14ac:dyDescent="0.3">
      <c r="B17" s="139" t="s">
        <v>462</v>
      </c>
    </row>
    <row r="18" spans="2:11" x14ac:dyDescent="0.3">
      <c r="B18" s="139" t="s">
        <v>332</v>
      </c>
    </row>
    <row r="19" spans="2:11" x14ac:dyDescent="0.3">
      <c r="B19" s="139" t="s">
        <v>380</v>
      </c>
    </row>
    <row r="20" spans="2:11" x14ac:dyDescent="0.3">
      <c r="B20" s="139" t="s">
        <v>370</v>
      </c>
    </row>
    <row r="21" spans="2:11" x14ac:dyDescent="0.3">
      <c r="B21" s="139" t="s">
        <v>463</v>
      </c>
    </row>
    <row r="23" spans="2:11" x14ac:dyDescent="0.3">
      <c r="B23" s="140" t="s">
        <v>467</v>
      </c>
      <c r="C23" s="88"/>
      <c r="D23" s="88"/>
      <c r="E23" s="88"/>
      <c r="F23" s="88"/>
      <c r="G23" s="88"/>
      <c r="H23" s="88"/>
      <c r="I23" s="88"/>
      <c r="J23" s="88"/>
      <c r="K23" s="88"/>
    </row>
    <row r="24" spans="2:11" x14ac:dyDescent="0.3">
      <c r="B24" s="139" t="s">
        <v>265</v>
      </c>
    </row>
    <row r="25" spans="2:11" x14ac:dyDescent="0.3">
      <c r="B25" s="139" t="s">
        <v>464</v>
      </c>
    </row>
  </sheetData>
  <phoneticPr fontId="26" type="noConversion"/>
  <hyperlinks>
    <hyperlink ref="B7" location="Model!A28" display="Historical Financial Statement" xr:uid="{F0E35C4F-1DEE-4CA3-957F-4D46879E1FA7}"/>
    <hyperlink ref="B8" location="'Index Data'!A1" display="Market Data" xr:uid="{95CB6239-A5D5-4965-946E-7A1BB5124E83}"/>
    <hyperlink ref="B12" location="Model!A28" display="Income Statement" xr:uid="{FE26F375-B5C6-4EE6-B5B9-3F40F8496858}"/>
    <hyperlink ref="B13" location="Model!A57" display="Balance Sheet" xr:uid="{5B544786-30C3-4348-8366-0D6191649C6A}"/>
    <hyperlink ref="B14" location="Model!A97" display="Cash Flow Statement" xr:uid="{FD93393F-F9F4-467B-B605-FC96F7951B6E}"/>
    <hyperlink ref="B15" location="Model!A131" display="Working Capital" xr:uid="{6A47D346-581D-4B89-A705-898A6DBC681E}"/>
    <hyperlink ref="B16" location="Model!A138" display="Depreciation Schedule" xr:uid="{B78CECE1-69DE-4D88-A993-58CD53BEA538}"/>
    <hyperlink ref="B17" location="Model!A144" display="Debt Schedule" xr:uid="{125981AA-846B-48DB-88C4-F735CA71E1D9}"/>
    <hyperlink ref="B18" location="WACC!A50" display="WACC" xr:uid="{91E6369C-A910-4FA3-987B-237EE133B5AB}"/>
    <hyperlink ref="B19" location="Beta!H9" display="Beta" xr:uid="{6F02C590-247F-4D6F-932C-0AB9E9B80123}"/>
    <hyperlink ref="B20" location="Model!A192" display="Sensitivity Analysis" xr:uid="{FF3AB279-782E-4A13-B4EF-A06174F00135}"/>
    <hyperlink ref="B21" location="Ratios!A1" display="Ratio Analysis" xr:uid="{C39C2CA5-FCF1-44DB-91B4-22A3B46AB553}"/>
    <hyperlink ref="B24" location="Model!A150" display="DCF Model" xr:uid="{B72BDA64-3428-40D0-87D0-E91E824E4E26}"/>
    <hyperlink ref="B25" location="'Company Valuation'!A1" display="Comparables Analysis" xr:uid="{391A4E00-3760-43DF-8047-57C0B944C78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816AD-F016-4BBD-B5BE-88B2EEFDD48F}">
  <dimension ref="B2:K33"/>
  <sheetViews>
    <sheetView showGridLines="0" zoomScale="74" workbookViewId="0">
      <selection activeCell="E36" sqref="E36"/>
    </sheetView>
  </sheetViews>
  <sheetFormatPr defaultRowHeight="14.4" x14ac:dyDescent="0.3"/>
  <cols>
    <col min="2" max="2" width="31.33203125" bestFit="1" customWidth="1"/>
    <col min="4" max="4" width="13.88671875" bestFit="1" customWidth="1"/>
  </cols>
  <sheetData>
    <row r="2" spans="2:11" ht="28.8" x14ac:dyDescent="0.55000000000000004">
      <c r="B2" s="16" t="s">
        <v>160</v>
      </c>
      <c r="C2" s="3"/>
      <c r="D2" s="3"/>
      <c r="E2" s="3"/>
      <c r="F2" s="3"/>
      <c r="G2" s="3"/>
      <c r="H2" s="3"/>
      <c r="I2" s="3"/>
      <c r="J2" s="3"/>
      <c r="K2" s="3"/>
    </row>
    <row r="3" spans="2:11" x14ac:dyDescent="0.3">
      <c r="B3" s="17" t="s">
        <v>161</v>
      </c>
      <c r="C3" s="3"/>
      <c r="D3" s="3"/>
      <c r="E3" s="3"/>
      <c r="F3" s="3"/>
      <c r="G3" s="3"/>
      <c r="H3" s="3"/>
      <c r="I3" s="3"/>
      <c r="J3" s="3"/>
      <c r="K3" s="3"/>
    </row>
    <row r="4" spans="2:11" x14ac:dyDescent="0.3">
      <c r="B4" s="2" t="s">
        <v>339</v>
      </c>
      <c r="C4" s="3"/>
      <c r="D4" s="3"/>
      <c r="E4" s="3"/>
      <c r="F4" s="3"/>
      <c r="G4" s="3"/>
      <c r="H4" s="3"/>
      <c r="I4" s="3"/>
      <c r="J4" s="3"/>
      <c r="K4" s="3"/>
    </row>
    <row r="6" spans="2:11" x14ac:dyDescent="0.3">
      <c r="B6" s="144" t="s">
        <v>269</v>
      </c>
      <c r="C6" s="164" t="s">
        <v>476</v>
      </c>
      <c r="D6" s="164"/>
      <c r="E6" s="164"/>
      <c r="F6" s="164"/>
    </row>
    <row r="7" spans="2:11" x14ac:dyDescent="0.3">
      <c r="B7" s="144" t="s">
        <v>469</v>
      </c>
      <c r="C7" s="164" t="s">
        <v>477</v>
      </c>
      <c r="D7" s="164"/>
      <c r="E7" s="164"/>
      <c r="F7" s="164"/>
    </row>
    <row r="8" spans="2:11" x14ac:dyDescent="0.3">
      <c r="B8" s="144" t="s">
        <v>470</v>
      </c>
      <c r="C8" s="164" t="s">
        <v>479</v>
      </c>
      <c r="D8" s="164"/>
      <c r="E8" s="164"/>
      <c r="F8" s="164"/>
    </row>
    <row r="9" spans="2:11" x14ac:dyDescent="0.3">
      <c r="B9" s="144" t="s">
        <v>471</v>
      </c>
      <c r="C9" s="164" t="s">
        <v>478</v>
      </c>
      <c r="D9" s="164"/>
      <c r="E9" s="164"/>
      <c r="F9" s="164"/>
    </row>
    <row r="10" spans="2:11" x14ac:dyDescent="0.3">
      <c r="B10" s="144" t="s">
        <v>475</v>
      </c>
      <c r="C10" s="141" t="s">
        <v>480</v>
      </c>
      <c r="D10" s="142"/>
      <c r="E10" s="142"/>
      <c r="F10" s="143"/>
    </row>
    <row r="11" spans="2:11" x14ac:dyDescent="0.3">
      <c r="B11" s="144" t="s">
        <v>472</v>
      </c>
      <c r="C11" s="168" t="s">
        <v>481</v>
      </c>
      <c r="D11" s="169"/>
      <c r="E11" s="169"/>
      <c r="F11" s="170"/>
    </row>
    <row r="12" spans="2:11" x14ac:dyDescent="0.3">
      <c r="B12" s="144" t="s">
        <v>473</v>
      </c>
      <c r="C12" s="171" t="s">
        <v>482</v>
      </c>
      <c r="D12" s="172"/>
      <c r="E12" s="172"/>
      <c r="F12" s="173"/>
    </row>
    <row r="13" spans="2:11" ht="72" customHeight="1" x14ac:dyDescent="0.3">
      <c r="B13" s="145" t="s">
        <v>468</v>
      </c>
      <c r="C13" s="168" t="s">
        <v>483</v>
      </c>
      <c r="D13" s="169"/>
      <c r="E13" s="169"/>
      <c r="F13" s="170"/>
    </row>
    <row r="14" spans="2:11" ht="14.4" customHeight="1" x14ac:dyDescent="0.3">
      <c r="B14" s="144" t="s">
        <v>474</v>
      </c>
      <c r="C14" s="174">
        <v>2640</v>
      </c>
      <c r="D14" s="175"/>
      <c r="E14" s="175"/>
      <c r="F14" s="176"/>
    </row>
    <row r="17" spans="2:4" x14ac:dyDescent="0.3">
      <c r="B17" s="165" t="s">
        <v>484</v>
      </c>
      <c r="C17" s="166"/>
      <c r="D17" s="167"/>
    </row>
    <row r="18" spans="2:4" x14ac:dyDescent="0.3">
      <c r="B18" s="146" t="s">
        <v>485</v>
      </c>
      <c r="C18" s="147"/>
      <c r="D18" s="148"/>
    </row>
    <row r="19" spans="2:4" x14ac:dyDescent="0.3">
      <c r="B19" s="149" t="s">
        <v>486</v>
      </c>
      <c r="C19" s="158" t="s">
        <v>487</v>
      </c>
      <c r="D19" s="155">
        <v>959172430</v>
      </c>
    </row>
    <row r="20" spans="2:4" x14ac:dyDescent="0.3">
      <c r="B20" s="149" t="s">
        <v>488</v>
      </c>
      <c r="C20" s="158" t="s">
        <v>489</v>
      </c>
      <c r="D20" s="155">
        <v>1</v>
      </c>
    </row>
    <row r="21" spans="2:4" x14ac:dyDescent="0.3">
      <c r="B21" s="149" t="s">
        <v>474</v>
      </c>
      <c r="C21" s="158" t="s">
        <v>489</v>
      </c>
      <c r="D21" s="156">
        <v>2640</v>
      </c>
    </row>
    <row r="22" spans="2:4" x14ac:dyDescent="0.3">
      <c r="B22" s="150" t="s">
        <v>490</v>
      </c>
      <c r="C22" s="159" t="s">
        <v>489</v>
      </c>
      <c r="D22" s="157">
        <v>253228</v>
      </c>
    </row>
    <row r="24" spans="2:4" x14ac:dyDescent="0.3">
      <c r="B24" s="165" t="s">
        <v>461</v>
      </c>
      <c r="C24" s="166"/>
      <c r="D24" s="167"/>
    </row>
    <row r="25" spans="2:4" x14ac:dyDescent="0.3">
      <c r="B25" s="151" t="s">
        <v>491</v>
      </c>
      <c r="C25" s="160" t="s">
        <v>235</v>
      </c>
      <c r="D25" s="154">
        <f>Scenario!D8</f>
        <v>5.4753391086755004E-2</v>
      </c>
    </row>
    <row r="26" spans="2:4" x14ac:dyDescent="0.3">
      <c r="B26" s="152" t="s">
        <v>232</v>
      </c>
      <c r="C26" s="160" t="s">
        <v>235</v>
      </c>
      <c r="D26" s="154">
        <f>D25</f>
        <v>5.4753391086755004E-2</v>
      </c>
    </row>
    <row r="27" spans="2:4" x14ac:dyDescent="0.3">
      <c r="B27" s="152" t="s">
        <v>252</v>
      </c>
      <c r="C27" s="160" t="s">
        <v>235</v>
      </c>
      <c r="D27" s="154">
        <f>Scenario!D9</f>
        <v>0.18512278497715573</v>
      </c>
    </row>
    <row r="28" spans="2:4" x14ac:dyDescent="0.3">
      <c r="B28" s="152" t="s">
        <v>232</v>
      </c>
      <c r="C28" s="160" t="s">
        <v>235</v>
      </c>
      <c r="D28" s="154">
        <f>Scenario!F10</f>
        <v>0.05</v>
      </c>
    </row>
    <row r="29" spans="2:4" x14ac:dyDescent="0.3">
      <c r="B29" s="151" t="s">
        <v>492</v>
      </c>
      <c r="C29" s="160" t="s">
        <v>235</v>
      </c>
      <c r="D29" s="154">
        <f>Model!C155</f>
        <v>7.0000000000000007E-2</v>
      </c>
    </row>
    <row r="30" spans="2:4" x14ac:dyDescent="0.3">
      <c r="B30" s="151" t="s">
        <v>493</v>
      </c>
      <c r="C30" s="160" t="s">
        <v>235</v>
      </c>
      <c r="D30" s="154">
        <f>WACC!D44</f>
        <v>6.7599999999999993E-2</v>
      </c>
    </row>
    <row r="31" spans="2:4" x14ac:dyDescent="0.3">
      <c r="B31" s="151" t="s">
        <v>494</v>
      </c>
      <c r="C31" s="160" t="s">
        <v>235</v>
      </c>
      <c r="D31" s="153">
        <f>WACC!D39</f>
        <v>0.2621073459569862</v>
      </c>
    </row>
    <row r="32" spans="2:4" x14ac:dyDescent="0.3">
      <c r="B32" s="151" t="s">
        <v>495</v>
      </c>
      <c r="C32" s="160" t="s">
        <v>235</v>
      </c>
      <c r="D32" s="154">
        <f>Scenario!D11</f>
        <v>9.5000000000000001E-2</v>
      </c>
    </row>
    <row r="33" spans="2:4" x14ac:dyDescent="0.3">
      <c r="B33" s="151" t="s">
        <v>332</v>
      </c>
      <c r="C33" s="160" t="s">
        <v>235</v>
      </c>
      <c r="D33" s="154">
        <f>WACC!D50</f>
        <v>7.8523980826680481E-2</v>
      </c>
    </row>
  </sheetData>
  <mergeCells count="10">
    <mergeCell ref="B24:D24"/>
    <mergeCell ref="C11:F11"/>
    <mergeCell ref="C12:F12"/>
    <mergeCell ref="C13:F13"/>
    <mergeCell ref="C14:F14"/>
    <mergeCell ref="C6:F6"/>
    <mergeCell ref="C7:F7"/>
    <mergeCell ref="C8:F8"/>
    <mergeCell ref="C9:F9"/>
    <mergeCell ref="B17:D17"/>
  </mergeCells>
  <hyperlinks>
    <hyperlink ref="C12" r:id="rId1" xr:uid="{00000000-0004-0000-0100-000000000000}"/>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F4A63-5BBF-435C-979B-58D0240920D6}">
  <dimension ref="B2:S211"/>
  <sheetViews>
    <sheetView showGridLines="0" tabSelected="1" zoomScale="77" zoomScaleNormal="77" workbookViewId="0">
      <pane xSplit="1" ySplit="5" topLeftCell="B51" activePane="bottomRight" state="frozen"/>
      <selection pane="topRight" activeCell="B1" sqref="B1"/>
      <selection pane="bottomLeft" activeCell="A6" sqref="A6"/>
      <selection pane="bottomRight" activeCell="E68" sqref="E68"/>
    </sheetView>
  </sheetViews>
  <sheetFormatPr defaultRowHeight="14.4" x14ac:dyDescent="0.3"/>
  <cols>
    <col min="1" max="1" width="2.5546875" customWidth="1"/>
    <col min="2" max="2" width="56.44140625" bestFit="1" customWidth="1"/>
    <col min="3" max="3" width="10.6640625" bestFit="1" customWidth="1"/>
    <col min="5" max="14" width="10.44140625" bestFit="1" customWidth="1"/>
    <col min="15" max="19" width="10.33203125" bestFit="1" customWidth="1"/>
  </cols>
  <sheetData>
    <row r="2" spans="2:19" ht="28.8" x14ac:dyDescent="0.55000000000000004">
      <c r="B2" s="16" t="s">
        <v>160</v>
      </c>
      <c r="C2" s="3"/>
      <c r="D2" s="3"/>
      <c r="E2" s="3"/>
      <c r="F2" s="3"/>
      <c r="G2" s="3"/>
      <c r="H2" s="3"/>
      <c r="I2" s="3"/>
      <c r="J2" s="3"/>
      <c r="K2" s="3"/>
      <c r="L2" s="3"/>
      <c r="M2" s="3"/>
      <c r="N2" s="3"/>
      <c r="O2" s="3"/>
      <c r="P2" s="3"/>
      <c r="Q2" s="3"/>
      <c r="R2" s="3"/>
      <c r="S2" s="3"/>
    </row>
    <row r="3" spans="2:19" x14ac:dyDescent="0.3">
      <c r="B3" s="17" t="s">
        <v>161</v>
      </c>
      <c r="C3" s="3"/>
      <c r="D3" s="3"/>
      <c r="E3" s="162" t="s">
        <v>158</v>
      </c>
      <c r="F3" s="162"/>
      <c r="G3" s="162"/>
      <c r="H3" s="162"/>
      <c r="I3" s="162"/>
      <c r="J3" s="163"/>
      <c r="K3" s="163"/>
      <c r="L3" s="163"/>
      <c r="M3" s="163"/>
      <c r="N3" s="163"/>
      <c r="O3" s="163"/>
      <c r="P3" s="163"/>
      <c r="Q3" s="163"/>
      <c r="R3" s="163"/>
      <c r="S3" s="163"/>
    </row>
    <row r="4" spans="2:19" x14ac:dyDescent="0.3">
      <c r="B4" s="2" t="s">
        <v>159</v>
      </c>
      <c r="C4" s="3"/>
      <c r="D4" s="3"/>
      <c r="E4" s="18">
        <v>2022</v>
      </c>
      <c r="F4" s="18">
        <f>E4+1</f>
        <v>2023</v>
      </c>
      <c r="G4" s="18">
        <f t="shared" ref="G4:I4" si="0">F4+1</f>
        <v>2024</v>
      </c>
      <c r="H4" s="18">
        <f t="shared" si="0"/>
        <v>2025</v>
      </c>
      <c r="I4" s="18">
        <f t="shared" si="0"/>
        <v>2026</v>
      </c>
      <c r="J4" s="19">
        <f>I4+1</f>
        <v>2027</v>
      </c>
      <c r="K4" s="19">
        <f t="shared" ref="K4:N4" si="1">J4+1</f>
        <v>2028</v>
      </c>
      <c r="L4" s="19">
        <f t="shared" si="1"/>
        <v>2029</v>
      </c>
      <c r="M4" s="19">
        <f t="shared" si="1"/>
        <v>2030</v>
      </c>
      <c r="N4" s="19">
        <f t="shared" si="1"/>
        <v>2031</v>
      </c>
      <c r="O4" s="19">
        <f t="shared" ref="O4" si="2">N4+1</f>
        <v>2032</v>
      </c>
      <c r="P4" s="19">
        <f t="shared" ref="P4" si="3">O4+1</f>
        <v>2033</v>
      </c>
      <c r="Q4" s="19">
        <f t="shared" ref="Q4" si="4">P4+1</f>
        <v>2034</v>
      </c>
      <c r="R4" s="19">
        <f t="shared" ref="R4:S4" si="5">Q4+1</f>
        <v>2035</v>
      </c>
      <c r="S4" s="19">
        <f t="shared" si="5"/>
        <v>2036</v>
      </c>
    </row>
    <row r="5" spans="2:19" x14ac:dyDescent="0.3">
      <c r="B5" t="s">
        <v>202</v>
      </c>
      <c r="E5" t="str">
        <f>IF(E94=0,"Ok","Error")</f>
        <v>Ok</v>
      </c>
      <c r="F5" t="str">
        <f t="shared" ref="F5:S5" si="6">IF(F94=0,"Ok","Error")</f>
        <v>Ok</v>
      </c>
      <c r="G5" t="str">
        <f t="shared" si="6"/>
        <v>Ok</v>
      </c>
      <c r="H5" t="str">
        <f t="shared" si="6"/>
        <v>Ok</v>
      </c>
      <c r="I5" t="str">
        <f t="shared" si="6"/>
        <v>Ok</v>
      </c>
      <c r="J5" t="str">
        <f t="shared" si="6"/>
        <v>Ok</v>
      </c>
      <c r="K5" t="str">
        <f t="shared" si="6"/>
        <v>Ok</v>
      </c>
      <c r="L5" t="str">
        <f t="shared" si="6"/>
        <v>Ok</v>
      </c>
      <c r="M5" t="str">
        <f t="shared" si="6"/>
        <v>Ok</v>
      </c>
      <c r="N5" t="str">
        <f t="shared" si="6"/>
        <v>Ok</v>
      </c>
      <c r="O5" t="str">
        <f t="shared" si="6"/>
        <v>Ok</v>
      </c>
      <c r="P5" t="str">
        <f t="shared" si="6"/>
        <v>Ok</v>
      </c>
      <c r="Q5" t="str">
        <f t="shared" si="6"/>
        <v>Ok</v>
      </c>
      <c r="R5" t="str">
        <f t="shared" si="6"/>
        <v>Ok</v>
      </c>
      <c r="S5" t="str">
        <f t="shared" si="6"/>
        <v>Ok</v>
      </c>
    </row>
    <row r="6" spans="2:19" x14ac:dyDescent="0.3">
      <c r="B6" s="28" t="s">
        <v>375</v>
      </c>
    </row>
    <row r="7" spans="2:19" x14ac:dyDescent="0.3">
      <c r="B7" s="28"/>
    </row>
    <row r="8" spans="2:19" ht="18" x14ac:dyDescent="0.35">
      <c r="B8" s="20" t="s">
        <v>230</v>
      </c>
      <c r="C8" s="3"/>
      <c r="D8" s="3"/>
      <c r="E8" s="3"/>
      <c r="F8" s="3"/>
      <c r="G8" s="3"/>
      <c r="H8" s="3"/>
      <c r="I8" s="3"/>
      <c r="J8" s="3"/>
      <c r="K8" s="3"/>
      <c r="L8" s="3"/>
      <c r="M8" s="3"/>
      <c r="N8" s="3"/>
      <c r="O8" s="3"/>
      <c r="P8" s="3"/>
      <c r="Q8" s="3"/>
      <c r="R8" s="3"/>
      <c r="S8" s="3"/>
    </row>
    <row r="9" spans="2:19" x14ac:dyDescent="0.3">
      <c r="B9" s="28"/>
    </row>
    <row r="10" spans="2:19" x14ac:dyDescent="0.3">
      <c r="B10" s="37" t="s">
        <v>231</v>
      </c>
      <c r="C10" s="50"/>
      <c r="D10" s="37" t="s">
        <v>233</v>
      </c>
      <c r="E10" s="49">
        <v>1</v>
      </c>
    </row>
    <row r="11" spans="2:19" x14ac:dyDescent="0.3">
      <c r="D11" s="1"/>
      <c r="J11" s="88"/>
      <c r="K11" s="88"/>
      <c r="L11" s="88"/>
      <c r="M11" s="88"/>
      <c r="N11" s="88"/>
      <c r="O11" s="88"/>
      <c r="P11" s="88"/>
      <c r="Q11" s="88"/>
      <c r="R11" s="88"/>
      <c r="S11" s="88"/>
    </row>
    <row r="12" spans="2:19" x14ac:dyDescent="0.3">
      <c r="B12" t="s">
        <v>234</v>
      </c>
      <c r="D12" t="s">
        <v>235</v>
      </c>
      <c r="E12" s="46">
        <v>0</v>
      </c>
      <c r="F12" s="39">
        <f>F30/E30-1</f>
        <v>0.18512278497715573</v>
      </c>
      <c r="G12" s="39">
        <f t="shared" ref="G12:I12" si="7">G30/F30-1</f>
        <v>2.9173126532571869E-2</v>
      </c>
      <c r="H12" s="39">
        <f t="shared" si="7"/>
        <v>-4.4770308155604899E-2</v>
      </c>
      <c r="I12" s="39">
        <f t="shared" si="7"/>
        <v>4.9487960992897317E-2</v>
      </c>
      <c r="J12" s="118" cm="1">
        <f t="array" ref="J12:S12">CHOOSE(E10,Scenario!F8:O8,Scenario!F9:O9,Scenario!F10:O10)</f>
        <v>5.7753391086755007E-2</v>
      </c>
      <c r="K12" s="118">
        <v>6.075339108675501E-2</v>
      </c>
      <c r="L12" s="118">
        <v>6.3753391086755012E-2</v>
      </c>
      <c r="M12" s="118">
        <v>6.6753391086755015E-2</v>
      </c>
      <c r="N12" s="118">
        <v>6.9753391086755018E-2</v>
      </c>
      <c r="O12" s="118">
        <v>7.275339108675502E-2</v>
      </c>
      <c r="P12" s="118">
        <v>7.5753391086755023E-2</v>
      </c>
      <c r="Q12" s="118">
        <v>7.8753391086755026E-2</v>
      </c>
      <c r="R12" s="118">
        <v>8.1753391086755028E-2</v>
      </c>
      <c r="S12" s="118">
        <v>8.4753391086755031E-2</v>
      </c>
    </row>
    <row r="13" spans="2:19" x14ac:dyDescent="0.3">
      <c r="B13" t="s">
        <v>236</v>
      </c>
      <c r="D13" t="s">
        <v>235</v>
      </c>
      <c r="E13" s="40">
        <f>-E31/E30</f>
        <v>0.62886409120148667</v>
      </c>
      <c r="F13" s="40">
        <f t="shared" ref="F13:I13" si="8">-F31/F30</f>
        <v>0.61343476204739023</v>
      </c>
      <c r="G13" s="40">
        <f t="shared" si="8"/>
        <v>0.56600543235573286</v>
      </c>
      <c r="H13" s="40">
        <f t="shared" si="8"/>
        <v>0.57559130315269258</v>
      </c>
      <c r="I13" s="40">
        <f t="shared" si="8"/>
        <v>0.56210764864878537</v>
      </c>
      <c r="J13" s="127">
        <f>AVERAGE($E13:$I13)</f>
        <v>0.58920064748121759</v>
      </c>
      <c r="K13" s="127">
        <f t="shared" ref="K13:S14" si="9">AVERAGE($E13:$I13)</f>
        <v>0.58920064748121759</v>
      </c>
      <c r="L13" s="127">
        <f t="shared" si="9"/>
        <v>0.58920064748121759</v>
      </c>
      <c r="M13" s="127">
        <f t="shared" si="9"/>
        <v>0.58920064748121759</v>
      </c>
      <c r="N13" s="127">
        <f t="shared" si="9"/>
        <v>0.58920064748121759</v>
      </c>
      <c r="O13" s="127">
        <f t="shared" si="9"/>
        <v>0.58920064748121759</v>
      </c>
      <c r="P13" s="127">
        <f t="shared" si="9"/>
        <v>0.58920064748121759</v>
      </c>
      <c r="Q13" s="127">
        <f t="shared" si="9"/>
        <v>0.58920064748121759</v>
      </c>
      <c r="R13" s="127">
        <f t="shared" si="9"/>
        <v>0.58920064748121759</v>
      </c>
      <c r="S13" s="127">
        <f t="shared" si="9"/>
        <v>0.58920064748121759</v>
      </c>
    </row>
    <row r="14" spans="2:19" x14ac:dyDescent="0.3">
      <c r="B14" t="s">
        <v>237</v>
      </c>
      <c r="D14" t="s">
        <v>235</v>
      </c>
      <c r="E14" s="40">
        <f>-E36/E30</f>
        <v>6.1394893970299597E-2</v>
      </c>
      <c r="F14" s="40">
        <f t="shared" ref="F14:I14" si="10">-F36/F30</f>
        <v>5.8804085641077232E-2</v>
      </c>
      <c r="G14" s="40">
        <f t="shared" si="10"/>
        <v>6.5535926037470923E-2</v>
      </c>
      <c r="H14" s="40">
        <f t="shared" si="10"/>
        <v>7.6601755107265398E-2</v>
      </c>
      <c r="I14" s="40">
        <f t="shared" si="10"/>
        <v>7.8676545391492811E-2</v>
      </c>
      <c r="J14" s="127">
        <f>AVERAGE($E14:$I14)</f>
        <v>6.8202641229521202E-2</v>
      </c>
      <c r="K14" s="127">
        <f t="shared" si="9"/>
        <v>6.8202641229521202E-2</v>
      </c>
      <c r="L14" s="127">
        <f t="shared" si="9"/>
        <v>6.8202641229521202E-2</v>
      </c>
      <c r="M14" s="127">
        <f t="shared" si="9"/>
        <v>6.8202641229521202E-2</v>
      </c>
      <c r="N14" s="127">
        <f t="shared" si="9"/>
        <v>6.8202641229521202E-2</v>
      </c>
      <c r="O14" s="127">
        <f t="shared" si="9"/>
        <v>6.8202641229521202E-2</v>
      </c>
      <c r="P14" s="127">
        <f t="shared" si="9"/>
        <v>6.8202641229521202E-2</v>
      </c>
      <c r="Q14" s="127">
        <f t="shared" si="9"/>
        <v>6.8202641229521202E-2</v>
      </c>
      <c r="R14" s="127">
        <f t="shared" si="9"/>
        <v>6.8202641229521202E-2</v>
      </c>
      <c r="S14" s="127">
        <f t="shared" si="9"/>
        <v>6.8202641229521202E-2</v>
      </c>
    </row>
    <row r="15" spans="2:19" x14ac:dyDescent="0.3">
      <c r="B15" t="s">
        <v>238</v>
      </c>
      <c r="D15" t="s">
        <v>235</v>
      </c>
      <c r="E15" s="40">
        <f>-E37/E30</f>
        <v>0.14467576683912187</v>
      </c>
      <c r="F15" s="40">
        <f t="shared" ref="F15:I15" si="11">-F37/F30</f>
        <v>0.1462564865655569</v>
      </c>
      <c r="G15" s="40">
        <f t="shared" si="11"/>
        <v>0.15476551026025553</v>
      </c>
      <c r="H15" s="40">
        <f t="shared" si="11"/>
        <v>0.17066197285287804</v>
      </c>
      <c r="I15" s="40">
        <f t="shared" si="11"/>
        <v>0.17104116116608972</v>
      </c>
      <c r="J15" s="127">
        <f t="shared" ref="J15:S22" si="12">AVERAGE($E15:$I15)</f>
        <v>0.15748017953678042</v>
      </c>
      <c r="K15" s="127">
        <f t="shared" si="12"/>
        <v>0.15748017953678042</v>
      </c>
      <c r="L15" s="127">
        <f t="shared" si="12"/>
        <v>0.15748017953678042</v>
      </c>
      <c r="M15" s="127">
        <f t="shared" si="12"/>
        <v>0.15748017953678042</v>
      </c>
      <c r="N15" s="127">
        <f t="shared" si="12"/>
        <v>0.15748017953678042</v>
      </c>
      <c r="O15" s="127">
        <f t="shared" si="12"/>
        <v>0.15748017953678042</v>
      </c>
      <c r="P15" s="127">
        <f t="shared" si="12"/>
        <v>0.15748017953678042</v>
      </c>
      <c r="Q15" s="127">
        <f t="shared" si="12"/>
        <v>0.15748017953678042</v>
      </c>
      <c r="R15" s="127">
        <f t="shared" si="12"/>
        <v>0.15748017953678042</v>
      </c>
      <c r="S15" s="127">
        <f t="shared" si="12"/>
        <v>0.15748017953678042</v>
      </c>
    </row>
    <row r="16" spans="2:19" x14ac:dyDescent="0.3">
      <c r="B16" t="s">
        <v>239</v>
      </c>
      <c r="D16" t="s">
        <v>235</v>
      </c>
      <c r="E16" s="45">
        <v>0</v>
      </c>
      <c r="F16" s="40">
        <f>-F40/F137</f>
        <v>0.15546487988896662</v>
      </c>
      <c r="G16" s="40">
        <f>-G40/G137</f>
        <v>0.1478218374271722</v>
      </c>
      <c r="H16" s="40">
        <f>-H40/H137</f>
        <v>0.14361194522725429</v>
      </c>
      <c r="I16" s="40">
        <f>-I40/I137</f>
        <v>0.13327946551555839</v>
      </c>
      <c r="J16" s="127">
        <f t="shared" si="12"/>
        <v>0.1160356256117903</v>
      </c>
      <c r="K16" s="127">
        <f t="shared" si="12"/>
        <v>0.1160356256117903</v>
      </c>
      <c r="L16" s="127">
        <f t="shared" si="12"/>
        <v>0.1160356256117903</v>
      </c>
      <c r="M16" s="127">
        <f t="shared" si="12"/>
        <v>0.1160356256117903</v>
      </c>
      <c r="N16" s="127">
        <f t="shared" si="12"/>
        <v>0.1160356256117903</v>
      </c>
      <c r="O16" s="127">
        <f t="shared" si="12"/>
        <v>0.1160356256117903</v>
      </c>
      <c r="P16" s="127">
        <f t="shared" si="12"/>
        <v>0.1160356256117903</v>
      </c>
      <c r="Q16" s="127">
        <f t="shared" si="12"/>
        <v>0.1160356256117903</v>
      </c>
      <c r="R16" s="127">
        <f t="shared" si="12"/>
        <v>0.1160356256117903</v>
      </c>
      <c r="S16" s="127">
        <f t="shared" si="12"/>
        <v>0.1160356256117903</v>
      </c>
    </row>
    <row r="17" spans="2:19" x14ac:dyDescent="0.3">
      <c r="B17" t="s">
        <v>240</v>
      </c>
      <c r="D17" t="s">
        <v>235</v>
      </c>
      <c r="E17" s="45">
        <v>0</v>
      </c>
      <c r="F17" s="40">
        <f>-F43/F143</f>
        <v>9.1027676950998171E-2</v>
      </c>
      <c r="G17" s="40">
        <f>-G43/G143</f>
        <v>0.10616158375676542</v>
      </c>
      <c r="H17" s="40">
        <f>-H43/H143</f>
        <v>9.1748235921725846E-2</v>
      </c>
      <c r="I17" s="40">
        <f>-I43/I143</f>
        <v>8.5321072877233881E-2</v>
      </c>
      <c r="J17" s="127">
        <f t="shared" si="12"/>
        <v>7.4851713901344666E-2</v>
      </c>
      <c r="K17" s="127">
        <f t="shared" si="12"/>
        <v>7.4851713901344666E-2</v>
      </c>
      <c r="L17" s="127">
        <f t="shared" si="12"/>
        <v>7.4851713901344666E-2</v>
      </c>
      <c r="M17" s="127">
        <f t="shared" si="12"/>
        <v>7.4851713901344666E-2</v>
      </c>
      <c r="N17" s="127">
        <f t="shared" si="12"/>
        <v>7.4851713901344666E-2</v>
      </c>
      <c r="O17" s="127">
        <f t="shared" si="12"/>
        <v>7.4851713901344666E-2</v>
      </c>
      <c r="P17" s="127">
        <f t="shared" si="12"/>
        <v>7.4851713901344666E-2</v>
      </c>
      <c r="Q17" s="127">
        <f t="shared" si="12"/>
        <v>7.4851713901344666E-2</v>
      </c>
      <c r="R17" s="127">
        <f t="shared" si="12"/>
        <v>7.4851713901344666E-2</v>
      </c>
      <c r="S17" s="127">
        <f t="shared" si="12"/>
        <v>7.4851713901344666E-2</v>
      </c>
    </row>
    <row r="18" spans="2:19" x14ac:dyDescent="0.3">
      <c r="B18" t="s">
        <v>241</v>
      </c>
      <c r="D18" t="s">
        <v>235</v>
      </c>
      <c r="E18" s="40">
        <f>E44/E30</f>
        <v>1.3058188505797683E-2</v>
      </c>
      <c r="F18" s="40">
        <f t="shared" ref="F18:I18" si="13">F44/F30</f>
        <v>1.1206024949120853E-2</v>
      </c>
      <c r="G18" s="40">
        <f t="shared" si="13"/>
        <v>1.9382032205907753E-2</v>
      </c>
      <c r="H18" s="40">
        <f t="shared" si="13"/>
        <v>1.688835066281047E-2</v>
      </c>
      <c r="I18" s="40">
        <f t="shared" si="13"/>
        <v>2.0340865467572928E-2</v>
      </c>
      <c r="J18" s="127">
        <f t="shared" si="12"/>
        <v>1.6175092358241938E-2</v>
      </c>
      <c r="K18" s="127">
        <f t="shared" si="12"/>
        <v>1.6175092358241938E-2</v>
      </c>
      <c r="L18" s="127">
        <f t="shared" si="12"/>
        <v>1.6175092358241938E-2</v>
      </c>
      <c r="M18" s="127">
        <f t="shared" si="12"/>
        <v>1.6175092358241938E-2</v>
      </c>
      <c r="N18" s="127">
        <f t="shared" si="12"/>
        <v>1.6175092358241938E-2</v>
      </c>
      <c r="O18" s="127">
        <f t="shared" si="12"/>
        <v>1.6175092358241938E-2</v>
      </c>
      <c r="P18" s="127">
        <f t="shared" si="12"/>
        <v>1.6175092358241938E-2</v>
      </c>
      <c r="Q18" s="127">
        <f t="shared" si="12"/>
        <v>1.6175092358241938E-2</v>
      </c>
      <c r="R18" s="127">
        <f t="shared" si="12"/>
        <v>1.6175092358241938E-2</v>
      </c>
      <c r="S18" s="127">
        <f t="shared" si="12"/>
        <v>1.6175092358241938E-2</v>
      </c>
    </row>
    <row r="19" spans="2:19" x14ac:dyDescent="0.3">
      <c r="B19" t="s">
        <v>242</v>
      </c>
      <c r="D19" t="s">
        <v>235</v>
      </c>
      <c r="E19" s="40">
        <f>E47/E30</f>
        <v>1.0848320073893658E-3</v>
      </c>
      <c r="F19" s="40">
        <f t="shared" ref="F19:I19" si="14">F47/F30</f>
        <v>2.7211898195896086E-3</v>
      </c>
      <c r="G19" s="40">
        <f t="shared" si="14"/>
        <v>3.7470351232422395E-3</v>
      </c>
      <c r="H19" s="40">
        <f t="shared" si="14"/>
        <v>4.1500494608268483E-3</v>
      </c>
      <c r="I19" s="40">
        <f t="shared" si="14"/>
        <v>4.6535561104937848E-3</v>
      </c>
      <c r="J19" s="127">
        <f t="shared" si="12"/>
        <v>3.271332504308369E-3</v>
      </c>
      <c r="K19" s="127">
        <f t="shared" si="12"/>
        <v>3.271332504308369E-3</v>
      </c>
      <c r="L19" s="127">
        <f t="shared" si="12"/>
        <v>3.271332504308369E-3</v>
      </c>
      <c r="M19" s="127">
        <f t="shared" si="12"/>
        <v>3.271332504308369E-3</v>
      </c>
      <c r="N19" s="127">
        <f t="shared" si="12"/>
        <v>3.271332504308369E-3</v>
      </c>
      <c r="O19" s="127">
        <f t="shared" si="12"/>
        <v>3.271332504308369E-3</v>
      </c>
      <c r="P19" s="127">
        <f t="shared" si="12"/>
        <v>3.271332504308369E-3</v>
      </c>
      <c r="Q19" s="127">
        <f t="shared" si="12"/>
        <v>3.271332504308369E-3</v>
      </c>
      <c r="R19" s="127">
        <f t="shared" si="12"/>
        <v>3.271332504308369E-3</v>
      </c>
      <c r="S19" s="127">
        <f t="shared" si="12"/>
        <v>3.271332504308369E-3</v>
      </c>
    </row>
    <row r="20" spans="2:19" x14ac:dyDescent="0.3">
      <c r="B20" t="s">
        <v>243</v>
      </c>
      <c r="D20" t="s">
        <v>235</v>
      </c>
      <c r="E20" s="40">
        <f>-E51/E50</f>
        <v>0.26336765590822697</v>
      </c>
      <c r="F20" s="40">
        <f t="shared" ref="F20:I20" si="15">-F51/F50</f>
        <v>0.26253201449155628</v>
      </c>
      <c r="G20" s="40">
        <f t="shared" si="15"/>
        <v>0.24362221463110589</v>
      </c>
      <c r="H20" s="40">
        <f t="shared" si="15"/>
        <v>0.27304348166887754</v>
      </c>
      <c r="I20" s="40">
        <f t="shared" si="15"/>
        <v>0.26797136308516439</v>
      </c>
      <c r="J20" s="127">
        <f t="shared" si="12"/>
        <v>0.2621073459569862</v>
      </c>
      <c r="K20" s="127">
        <f t="shared" si="12"/>
        <v>0.2621073459569862</v>
      </c>
      <c r="L20" s="127">
        <f t="shared" si="12"/>
        <v>0.2621073459569862</v>
      </c>
      <c r="M20" s="127">
        <f t="shared" si="12"/>
        <v>0.2621073459569862</v>
      </c>
      <c r="N20" s="127">
        <f t="shared" si="12"/>
        <v>0.2621073459569862</v>
      </c>
      <c r="O20" s="127">
        <f t="shared" si="12"/>
        <v>0.2621073459569862</v>
      </c>
      <c r="P20" s="127">
        <f t="shared" si="12"/>
        <v>0.2621073459569862</v>
      </c>
      <c r="Q20" s="127">
        <f t="shared" si="12"/>
        <v>0.2621073459569862</v>
      </c>
      <c r="R20" s="127">
        <f t="shared" si="12"/>
        <v>0.2621073459569862</v>
      </c>
      <c r="S20" s="127">
        <f t="shared" si="12"/>
        <v>0.2621073459569862</v>
      </c>
    </row>
    <row r="21" spans="2:19" x14ac:dyDescent="0.3">
      <c r="B21" t="s">
        <v>244</v>
      </c>
      <c r="D21" t="s">
        <v>235</v>
      </c>
      <c r="E21" s="40">
        <f>-E118/E55</f>
        <v>0.57144524298092936</v>
      </c>
      <c r="F21" s="40">
        <f>-F118/F55</f>
        <v>0.46147740463801407</v>
      </c>
      <c r="G21" s="40">
        <f>-G118/G55</f>
        <v>0.4589820590928968</v>
      </c>
      <c r="H21" s="40">
        <f>-H118/H55</f>
        <v>0.84648395696698586</v>
      </c>
      <c r="I21" s="40">
        <f>-I118/I55</f>
        <v>0.5518887566586036</v>
      </c>
      <c r="J21" s="127">
        <f t="shared" si="12"/>
        <v>0.57805548406748597</v>
      </c>
      <c r="K21" s="127">
        <f t="shared" si="12"/>
        <v>0.57805548406748597</v>
      </c>
      <c r="L21" s="127">
        <f t="shared" si="12"/>
        <v>0.57805548406748597</v>
      </c>
      <c r="M21" s="127">
        <f t="shared" si="12"/>
        <v>0.57805548406748597</v>
      </c>
      <c r="N21" s="127">
        <f t="shared" si="12"/>
        <v>0.57805548406748597</v>
      </c>
      <c r="O21" s="127">
        <f t="shared" si="12"/>
        <v>0.57805548406748597</v>
      </c>
      <c r="P21" s="127">
        <f t="shared" si="12"/>
        <v>0.57805548406748597</v>
      </c>
      <c r="Q21" s="127">
        <f t="shared" si="12"/>
        <v>0.57805548406748597</v>
      </c>
      <c r="R21" s="127">
        <f t="shared" si="12"/>
        <v>0.57805548406748597</v>
      </c>
      <c r="S21" s="127">
        <f t="shared" si="12"/>
        <v>0.57805548406748597</v>
      </c>
    </row>
    <row r="22" spans="2:19" x14ac:dyDescent="0.3">
      <c r="B22" t="s">
        <v>245</v>
      </c>
      <c r="D22" t="s">
        <v>246</v>
      </c>
      <c r="E22" s="41">
        <f>E63/E30*365</f>
        <v>48.587264890066699</v>
      </c>
      <c r="F22" s="41">
        <f>F63/F30*365</f>
        <v>49.096676611018296</v>
      </c>
      <c r="G22" s="41">
        <f>G63/G30*365</f>
        <v>50.293464691800729</v>
      </c>
      <c r="H22" s="41">
        <f>H63/H30*365</f>
        <v>46.530970381901284</v>
      </c>
      <c r="I22" s="41">
        <f>I63/I30*365</f>
        <v>45.8221244991364</v>
      </c>
      <c r="J22" s="121">
        <f>AVERAGE($E22:$I22)</f>
        <v>48.066100214784683</v>
      </c>
      <c r="K22" s="121">
        <f t="shared" si="12"/>
        <v>48.066100214784683</v>
      </c>
      <c r="L22" s="121">
        <f t="shared" si="12"/>
        <v>48.066100214784683</v>
      </c>
      <c r="M22" s="121">
        <f t="shared" si="12"/>
        <v>48.066100214784683</v>
      </c>
      <c r="N22" s="121">
        <f t="shared" si="12"/>
        <v>48.066100214784683</v>
      </c>
      <c r="O22" s="121">
        <f t="shared" si="12"/>
        <v>48.066100214784683</v>
      </c>
      <c r="P22" s="121">
        <f t="shared" si="12"/>
        <v>48.066100214784683</v>
      </c>
      <c r="Q22" s="121">
        <f t="shared" si="12"/>
        <v>48.066100214784683</v>
      </c>
      <c r="R22" s="121">
        <f t="shared" si="12"/>
        <v>48.066100214784683</v>
      </c>
      <c r="S22" s="121">
        <f t="shared" si="12"/>
        <v>48.066100214784683</v>
      </c>
    </row>
    <row r="23" spans="2:19" x14ac:dyDescent="0.3">
      <c r="B23" t="s">
        <v>226</v>
      </c>
      <c r="D23" t="s">
        <v>246</v>
      </c>
      <c r="E23" s="41">
        <f>-E64/E31*365</f>
        <v>122.71834214444762</v>
      </c>
      <c r="F23" s="41">
        <f>-F64/F31*365</f>
        <v>107.14832793704061</v>
      </c>
      <c r="G23" s="41">
        <f>-G64/G31*365</f>
        <v>107.6168268027064</v>
      </c>
      <c r="H23" s="41">
        <f>-H64/H31*365</f>
        <v>125.66925585346833</v>
      </c>
      <c r="I23" s="41">
        <f>-I64/I31*365</f>
        <v>104.81301414174139</v>
      </c>
      <c r="J23" s="121">
        <f t="shared" ref="J23:S24" si="16">AVERAGE($E23:$I23)</f>
        <v>113.59315337588086</v>
      </c>
      <c r="K23" s="121">
        <f t="shared" si="16"/>
        <v>113.59315337588086</v>
      </c>
      <c r="L23" s="121">
        <f t="shared" si="16"/>
        <v>113.59315337588086</v>
      </c>
      <c r="M23" s="121">
        <f t="shared" si="16"/>
        <v>113.59315337588086</v>
      </c>
      <c r="N23" s="121">
        <f t="shared" si="16"/>
        <v>113.59315337588086</v>
      </c>
      <c r="O23" s="121">
        <f t="shared" si="16"/>
        <v>113.59315337588086</v>
      </c>
      <c r="P23" s="121">
        <f t="shared" si="16"/>
        <v>113.59315337588086</v>
      </c>
      <c r="Q23" s="121">
        <f t="shared" si="16"/>
        <v>113.59315337588086</v>
      </c>
      <c r="R23" s="121">
        <f t="shared" si="16"/>
        <v>113.59315337588086</v>
      </c>
      <c r="S23" s="121">
        <f t="shared" si="16"/>
        <v>113.59315337588086</v>
      </c>
    </row>
    <row r="24" spans="2:19" x14ac:dyDescent="0.3">
      <c r="B24" t="s">
        <v>247</v>
      </c>
      <c r="D24" t="s">
        <v>246</v>
      </c>
      <c r="E24" s="41">
        <f>-E77/E31*365</f>
        <v>83.055038727920987</v>
      </c>
      <c r="F24" s="41">
        <f>-F77/F31*365</f>
        <v>62.719996218656192</v>
      </c>
      <c r="G24" s="41">
        <f>-G77/G31*365</f>
        <v>69.607988169362102</v>
      </c>
      <c r="H24" s="41">
        <f>-H77/H31*365</f>
        <v>71.968427600639075</v>
      </c>
      <c r="I24" s="41">
        <f>-I77/I31*365</f>
        <v>70.494206015664602</v>
      </c>
      <c r="J24" s="121">
        <f t="shared" si="16"/>
        <v>71.569131346448586</v>
      </c>
      <c r="K24" s="121">
        <f t="shared" si="16"/>
        <v>71.569131346448586</v>
      </c>
      <c r="L24" s="121">
        <f t="shared" si="16"/>
        <v>71.569131346448586</v>
      </c>
      <c r="M24" s="121">
        <f t="shared" si="16"/>
        <v>71.569131346448586</v>
      </c>
      <c r="N24" s="121">
        <f t="shared" si="16"/>
        <v>71.569131346448586</v>
      </c>
      <c r="O24" s="121">
        <f t="shared" si="16"/>
        <v>71.569131346448586</v>
      </c>
      <c r="P24" s="121">
        <f t="shared" si="16"/>
        <v>71.569131346448586</v>
      </c>
      <c r="Q24" s="121">
        <f t="shared" si="16"/>
        <v>71.569131346448586</v>
      </c>
      <c r="R24" s="121">
        <f t="shared" si="16"/>
        <v>71.569131346448586</v>
      </c>
      <c r="S24" s="121">
        <f t="shared" si="16"/>
        <v>71.569131346448586</v>
      </c>
    </row>
    <row r="25" spans="2:19" x14ac:dyDescent="0.3">
      <c r="B25" t="s">
        <v>248</v>
      </c>
      <c r="D25" t="s">
        <v>249</v>
      </c>
      <c r="E25" s="42">
        <f>E30/E68</f>
        <v>5.2728689305787579</v>
      </c>
      <c r="F25" s="42">
        <f>F30/F68</f>
        <v>5.9767488207179342</v>
      </c>
      <c r="G25" s="42">
        <f>G30/G68</f>
        <v>4.9666457710078333</v>
      </c>
      <c r="H25" s="42">
        <f>H30/H68</f>
        <v>3.6773592477305019</v>
      </c>
      <c r="I25" s="42">
        <f>I30/I68</f>
        <v>3.6911313779267823</v>
      </c>
      <c r="J25" s="128">
        <f>I25-0.2</f>
        <v>3.4911313779267821</v>
      </c>
      <c r="K25" s="128">
        <f t="shared" ref="K25:N25" si="17">J25-0.2</f>
        <v>3.2911313779267819</v>
      </c>
      <c r="L25" s="128">
        <f t="shared" si="17"/>
        <v>3.0911313779267817</v>
      </c>
      <c r="M25" s="128">
        <f t="shared" si="17"/>
        <v>2.8911313779267815</v>
      </c>
      <c r="N25" s="128">
        <f t="shared" si="17"/>
        <v>2.6911313779267814</v>
      </c>
      <c r="O25" s="128">
        <f t="shared" ref="O25" si="18">N25-0.2</f>
        <v>2.4911313779267812</v>
      </c>
      <c r="P25" s="128">
        <f t="shared" ref="P25" si="19">O25-0.2</f>
        <v>2.291131377926781</v>
      </c>
      <c r="Q25" s="128">
        <f t="shared" ref="Q25" si="20">P25-0.2</f>
        <v>2.0911313779267808</v>
      </c>
      <c r="R25" s="128">
        <f t="shared" ref="R25" si="21">Q25-0.2</f>
        <v>1.8911313779267809</v>
      </c>
      <c r="S25" s="128">
        <f t="shared" ref="S25" si="22">R25-0.2</f>
        <v>1.6911313779267809</v>
      </c>
    </row>
    <row r="27" spans="2:19" ht="18" x14ac:dyDescent="0.35">
      <c r="B27" s="20" t="s">
        <v>162</v>
      </c>
      <c r="C27" s="3"/>
      <c r="D27" s="3"/>
      <c r="E27" s="3"/>
      <c r="F27" s="3"/>
      <c r="G27" s="3"/>
      <c r="H27" s="3"/>
      <c r="I27" s="3"/>
      <c r="J27" s="3"/>
      <c r="K27" s="3"/>
      <c r="L27" s="3"/>
      <c r="M27" s="3"/>
      <c r="N27" s="3"/>
      <c r="O27" s="3"/>
      <c r="P27" s="3"/>
      <c r="Q27" s="3"/>
      <c r="R27" s="3"/>
      <c r="S27" s="3"/>
    </row>
    <row r="29" spans="2:19" ht="15.6" x14ac:dyDescent="0.3">
      <c r="B29" s="21" t="s">
        <v>163</v>
      </c>
    </row>
    <row r="30" spans="2:19" x14ac:dyDescent="0.3">
      <c r="B30" t="s">
        <v>164</v>
      </c>
      <c r="E30" s="32">
        <f>SUM('P&amp;L'!D10,'P&amp;L'!D11,'P&amp;L'!D12)</f>
        <v>29101.279999999999</v>
      </c>
      <c r="F30" s="32">
        <f>SUM('P&amp;L'!E10,'P&amp;L'!E11,'P&amp;L'!E12)</f>
        <v>34488.590000000004</v>
      </c>
      <c r="G30" s="32">
        <f>SUM('P&amp;L'!F10,'P&amp;L'!F11,'P&amp;L'!F12)</f>
        <v>35494.729999999996</v>
      </c>
      <c r="H30" s="32">
        <f>SUM('P&amp;L'!G10,'P&amp;L'!G11,'P&amp;L'!G12)</f>
        <v>33905.620000000003</v>
      </c>
      <c r="I30" s="32">
        <f>SUM('P&amp;L'!H10,'P&amp;L'!H11,'P&amp;L'!H12)</f>
        <v>35583.54</v>
      </c>
      <c r="J30" s="129">
        <f>I30*(1+J12)</f>
        <v>37638.610101871185</v>
      </c>
      <c r="K30" s="129">
        <f t="shared" ref="K30:N30" si="23">J30*(1+K12)</f>
        <v>39925.283301352058</v>
      </c>
      <c r="L30" s="129">
        <f t="shared" si="23"/>
        <v>42470.655501912639</v>
      </c>
      <c r="M30" s="129">
        <f t="shared" si="23"/>
        <v>45305.715778342659</v>
      </c>
      <c r="N30" s="129">
        <f t="shared" si="23"/>
        <v>48465.943089494758</v>
      </c>
      <c r="O30" s="129">
        <f t="shared" ref="O30" si="24">N30*(1+O12)</f>
        <v>51992.00480147318</v>
      </c>
      <c r="P30" s="129">
        <f t="shared" ref="P30" si="25">O30*(1+P12)</f>
        <v>55930.575474583617</v>
      </c>
      <c r="Q30" s="129">
        <f t="shared" ref="Q30" si="26">P30*(1+Q12)</f>
        <v>60335.297958640767</v>
      </c>
      <c r="R30" s="129">
        <f t="shared" ref="R30" si="27">Q30*(1+R12)</f>
        <v>65267.913168989413</v>
      </c>
      <c r="S30" s="129">
        <f t="shared" ref="S30" si="28">R30*(1+S12)</f>
        <v>70799.590139217136</v>
      </c>
    </row>
    <row r="31" spans="2:19" x14ac:dyDescent="0.3">
      <c r="B31" t="s">
        <v>172</v>
      </c>
      <c r="E31" s="32">
        <f>-SUM('P&amp;L'!D17,'P&amp;L'!D18,'P&amp;L'!D19)</f>
        <v>-18300.75</v>
      </c>
      <c r="F31" s="32">
        <f>-SUM('P&amp;L'!E17,'P&amp;L'!E18,'P&amp;L'!E19)</f>
        <v>-21156.500000000004</v>
      </c>
      <c r="G31" s="32">
        <f>-SUM('P&amp;L'!F17,'P&amp;L'!F18,'P&amp;L'!F19)</f>
        <v>-20090.21</v>
      </c>
      <c r="H31" s="32">
        <f>-SUM('P&amp;L'!G17,'P&amp;L'!G18,'P&amp;L'!G19)</f>
        <v>-19515.78</v>
      </c>
      <c r="I31" s="32">
        <f>-SUM('P&amp;L'!H17,'P&amp;L'!H18,'P&amp;L'!H19)</f>
        <v>-20001.78</v>
      </c>
      <c r="J31" s="129">
        <f>-J30*J13</f>
        <v>-22176.693442315598</v>
      </c>
      <c r="K31" s="129">
        <f t="shared" ref="K31:N31" si="29">-K30*K13</f>
        <v>-23524.002772027678</v>
      </c>
      <c r="L31" s="129">
        <f t="shared" si="29"/>
        <v>-25023.737720678662</v>
      </c>
      <c r="M31" s="129">
        <f t="shared" si="29"/>
        <v>-26694.157071199512</v>
      </c>
      <c r="N31" s="129">
        <f t="shared" si="29"/>
        <v>-28556.165049118154</v>
      </c>
      <c r="O31" s="129">
        <f t="shared" ref="O31:S31" si="30">-O30*O13</f>
        <v>-30633.722892874572</v>
      </c>
      <c r="P31" s="129">
        <f t="shared" si="30"/>
        <v>-32954.331283621774</v>
      </c>
      <c r="Q31" s="129">
        <f t="shared" si="30"/>
        <v>-35549.596623203324</v>
      </c>
      <c r="R31" s="129">
        <f t="shared" si="30"/>
        <v>-38455.896698916447</v>
      </c>
      <c r="S31" s="129">
        <f t="shared" si="30"/>
        <v>-41715.164351431566</v>
      </c>
    </row>
    <row r="32" spans="2:19" x14ac:dyDescent="0.3">
      <c r="E32" s="4"/>
      <c r="F32" s="4"/>
      <c r="G32" s="4"/>
      <c r="H32" s="4"/>
      <c r="I32" s="4"/>
      <c r="J32" s="129"/>
      <c r="K32" s="129"/>
      <c r="L32" s="129"/>
      <c r="M32" s="129"/>
      <c r="N32" s="129"/>
      <c r="O32" s="129"/>
      <c r="P32" s="129"/>
      <c r="Q32" s="129"/>
      <c r="R32" s="129"/>
      <c r="S32" s="129"/>
    </row>
    <row r="33" spans="2:19" x14ac:dyDescent="0.3">
      <c r="B33" s="5" t="s">
        <v>165</v>
      </c>
      <c r="C33" s="6"/>
      <c r="D33" s="6"/>
      <c r="E33" s="7">
        <f>SUM(E30:E31)</f>
        <v>10800.529999999999</v>
      </c>
      <c r="F33" s="7">
        <f t="shared" ref="F33:J33" si="31">SUM(F30:F31)</f>
        <v>13332.09</v>
      </c>
      <c r="G33" s="7">
        <f t="shared" si="31"/>
        <v>15404.519999999997</v>
      </c>
      <c r="H33" s="7">
        <f t="shared" si="31"/>
        <v>14389.840000000004</v>
      </c>
      <c r="I33" s="7">
        <f t="shared" si="31"/>
        <v>15581.760000000002</v>
      </c>
      <c r="J33" s="130">
        <f t="shared" si="31"/>
        <v>15461.916659555587</v>
      </c>
      <c r="K33" s="130">
        <f t="shared" ref="K33:N33" si="32">SUM(K30:K31)</f>
        <v>16401.28052932438</v>
      </c>
      <c r="L33" s="130">
        <f t="shared" si="32"/>
        <v>17446.917781233977</v>
      </c>
      <c r="M33" s="130">
        <f t="shared" si="32"/>
        <v>18611.558707143147</v>
      </c>
      <c r="N33" s="130">
        <f t="shared" si="32"/>
        <v>19909.778040376605</v>
      </c>
      <c r="O33" s="130">
        <f t="shared" ref="O33:S33" si="33">SUM(O30:O31)</f>
        <v>21358.281908598608</v>
      </c>
      <c r="P33" s="130">
        <f t="shared" si="33"/>
        <v>22976.244190961843</v>
      </c>
      <c r="Q33" s="130">
        <f t="shared" si="33"/>
        <v>24785.701335437443</v>
      </c>
      <c r="R33" s="130">
        <f t="shared" si="33"/>
        <v>26812.016470072966</v>
      </c>
      <c r="S33" s="130">
        <f t="shared" si="33"/>
        <v>29084.425787785571</v>
      </c>
    </row>
    <row r="34" spans="2:19" x14ac:dyDescent="0.3">
      <c r="E34" s="4"/>
      <c r="F34" s="4"/>
      <c r="G34" s="4"/>
      <c r="H34" s="4"/>
      <c r="I34" s="4"/>
      <c r="J34" s="129"/>
      <c r="K34" s="129"/>
      <c r="L34" s="129"/>
      <c r="M34" s="129"/>
      <c r="N34" s="129"/>
      <c r="O34" s="129"/>
      <c r="P34" s="129"/>
      <c r="Q34" s="129"/>
      <c r="R34" s="129"/>
      <c r="S34" s="129"/>
    </row>
    <row r="35" spans="2:19" ht="15.6" x14ac:dyDescent="0.3">
      <c r="B35" s="21" t="s">
        <v>166</v>
      </c>
      <c r="E35" s="4"/>
      <c r="F35" s="4"/>
      <c r="G35" s="4"/>
      <c r="H35" s="4"/>
      <c r="I35" s="4"/>
      <c r="J35" s="129"/>
      <c r="K35" s="129"/>
      <c r="L35" s="129"/>
      <c r="M35" s="129"/>
      <c r="N35" s="129"/>
      <c r="O35" s="129"/>
      <c r="P35" s="129"/>
      <c r="Q35" s="129"/>
      <c r="R35" s="129"/>
      <c r="S35" s="129"/>
    </row>
    <row r="36" spans="2:19" x14ac:dyDescent="0.3">
      <c r="B36" t="s">
        <v>173</v>
      </c>
      <c r="E36" s="32">
        <f>-'P&amp;L'!D20</f>
        <v>-1786.67</v>
      </c>
      <c r="F36" s="32">
        <f>-'P&amp;L'!E20</f>
        <v>-2028.07</v>
      </c>
      <c r="G36" s="32">
        <f>-'P&amp;L'!F20</f>
        <v>-2326.1799999999998</v>
      </c>
      <c r="H36" s="32">
        <f>-'P&amp;L'!G20</f>
        <v>-2597.23</v>
      </c>
      <c r="I36" s="32">
        <f>-'P&amp;L'!H20</f>
        <v>-2799.59</v>
      </c>
      <c r="J36" s="129">
        <f>-J30*J14</f>
        <v>-2567.0526211557531</v>
      </c>
      <c r="K36" s="129">
        <f t="shared" ref="K36:N36" si="34">-K30*K14</f>
        <v>-2723.0097729891081</v>
      </c>
      <c r="L36" s="129">
        <f t="shared" si="34"/>
        <v>-2896.6108799795384</v>
      </c>
      <c r="M36" s="129">
        <f t="shared" si="34"/>
        <v>-3089.9694788769625</v>
      </c>
      <c r="N36" s="129">
        <f t="shared" si="34"/>
        <v>-3305.5053283832035</v>
      </c>
      <c r="O36" s="129">
        <f t="shared" ref="O36:S36" si="35">-O30*O14</f>
        <v>-3545.9920502784189</v>
      </c>
      <c r="P36" s="129">
        <f t="shared" si="35"/>
        <v>-3814.6129728536839</v>
      </c>
      <c r="Q36" s="129">
        <f t="shared" si="35"/>
        <v>-4115.026680149439</v>
      </c>
      <c r="R36" s="129">
        <f t="shared" si="35"/>
        <v>-4451.4440656641273</v>
      </c>
      <c r="S36" s="129">
        <f t="shared" si="35"/>
        <v>-4828.7190454621732</v>
      </c>
    </row>
    <row r="37" spans="2:19" x14ac:dyDescent="0.3">
      <c r="B37" t="s">
        <v>174</v>
      </c>
      <c r="E37" s="32">
        <f>-'P&amp;L'!D21</f>
        <v>-4210.25</v>
      </c>
      <c r="F37" s="32">
        <f>-'P&amp;L'!E21</f>
        <v>-5044.18</v>
      </c>
      <c r="G37" s="32">
        <f>-'P&amp;L'!F21</f>
        <v>-5493.36</v>
      </c>
      <c r="H37" s="32">
        <f>-'P&amp;L'!G21</f>
        <v>-5786.4</v>
      </c>
      <c r="I37" s="32">
        <f>-'P&amp;L'!H21</f>
        <v>-6086.25</v>
      </c>
      <c r="J37" s="129">
        <f>-J30*J15</f>
        <v>-5927.3350763575518</v>
      </c>
      <c r="K37" s="129">
        <f t="shared" ref="K37:N37" si="36">-K30*K15</f>
        <v>-6287.4407823537431</v>
      </c>
      <c r="L37" s="129">
        <f t="shared" si="36"/>
        <v>-6688.2864534859536</v>
      </c>
      <c r="M37" s="129">
        <f t="shared" si="36"/>
        <v>-7134.7522548157476</v>
      </c>
      <c r="N37" s="129">
        <f t="shared" si="36"/>
        <v>-7632.4254191530172</v>
      </c>
      <c r="O37" s="129">
        <f t="shared" ref="O37:S37" si="37">-O30*O15</f>
        <v>-8187.7102506131459</v>
      </c>
      <c r="P37" s="129">
        <f t="shared" si="37"/>
        <v>-8807.9570673328762</v>
      </c>
      <c r="Q37" s="129">
        <f t="shared" si="37"/>
        <v>-9501.6135549318897</v>
      </c>
      <c r="R37" s="129">
        <f t="shared" si="37"/>
        <v>-10278.402683843447</v>
      </c>
      <c r="S37" s="129">
        <f t="shared" si="37"/>
        <v>-11149.532166254383</v>
      </c>
    </row>
    <row r="38" spans="2:19" x14ac:dyDescent="0.3">
      <c r="E38" s="4"/>
      <c r="F38" s="4"/>
      <c r="G38" s="4"/>
      <c r="H38" s="4"/>
      <c r="I38" s="4"/>
      <c r="J38" s="129"/>
      <c r="K38" s="129"/>
      <c r="L38" s="129"/>
      <c r="M38" s="129"/>
      <c r="N38" s="129"/>
      <c r="O38" s="129"/>
      <c r="P38" s="129"/>
      <c r="Q38" s="129"/>
      <c r="R38" s="129"/>
      <c r="S38" s="129"/>
    </row>
    <row r="39" spans="2:19" x14ac:dyDescent="0.3">
      <c r="B39" s="22" t="s">
        <v>455</v>
      </c>
      <c r="C39" s="6"/>
      <c r="D39" s="6"/>
      <c r="E39" s="7">
        <f>SUM(E33:E37)</f>
        <v>4803.6099999999988</v>
      </c>
      <c r="F39" s="7">
        <f t="shared" ref="F39:J39" si="38">SUM(F33:F37)</f>
        <v>6259.84</v>
      </c>
      <c r="G39" s="7">
        <f t="shared" si="38"/>
        <v>7584.9799999999968</v>
      </c>
      <c r="H39" s="7">
        <f t="shared" si="38"/>
        <v>6006.2100000000046</v>
      </c>
      <c r="I39" s="7">
        <f t="shared" si="38"/>
        <v>6695.9200000000019</v>
      </c>
      <c r="J39" s="130">
        <f t="shared" si="38"/>
        <v>6967.5289620422818</v>
      </c>
      <c r="K39" s="130">
        <f t="shared" ref="K39:N39" si="39">SUM(K33:K37)</f>
        <v>7390.8299739815293</v>
      </c>
      <c r="L39" s="130">
        <f t="shared" si="39"/>
        <v>7862.0204477684847</v>
      </c>
      <c r="M39" s="130">
        <f t="shared" si="39"/>
        <v>8386.8369734504377</v>
      </c>
      <c r="N39" s="130">
        <f t="shared" si="39"/>
        <v>8971.8472928403862</v>
      </c>
      <c r="O39" s="130">
        <f t="shared" ref="O39:S39" si="40">SUM(O33:O37)</f>
        <v>9624.5796077070445</v>
      </c>
      <c r="P39" s="130">
        <f t="shared" si="40"/>
        <v>10353.674150775283</v>
      </c>
      <c r="Q39" s="130">
        <f t="shared" si="40"/>
        <v>11169.061100356113</v>
      </c>
      <c r="R39" s="130">
        <f t="shared" si="40"/>
        <v>12082.169720565391</v>
      </c>
      <c r="S39" s="130">
        <f t="shared" si="40"/>
        <v>13106.174576069014</v>
      </c>
    </row>
    <row r="40" spans="2:19" x14ac:dyDescent="0.3">
      <c r="B40" t="s">
        <v>175</v>
      </c>
      <c r="E40" s="32">
        <f>-'P&amp;L'!D27</f>
        <v>-816.36</v>
      </c>
      <c r="F40" s="32">
        <f>-'P&amp;L'!E27</f>
        <v>-858.02</v>
      </c>
      <c r="G40" s="32">
        <f>-'P&amp;L'!F27</f>
        <v>-853</v>
      </c>
      <c r="H40" s="32">
        <f>-'P&amp;L'!G27</f>
        <v>-1026.3399999999999</v>
      </c>
      <c r="I40" s="32">
        <f>-'P&amp;L'!H27</f>
        <v>-1228.8499999999999</v>
      </c>
      <c r="J40" s="129">
        <f>J139</f>
        <v>-1118.61592087283</v>
      </c>
      <c r="K40" s="129">
        <f t="shared" ref="K40:N40" si="41">K139</f>
        <v>-1057.1215127328662</v>
      </c>
      <c r="L40" s="129">
        <f t="shared" si="41"/>
        <v>-1015.0791372087493</v>
      </c>
      <c r="M40" s="129">
        <f t="shared" si="41"/>
        <v>-992.84258215285433</v>
      </c>
      <c r="N40" s="129">
        <f t="shared" si="41"/>
        <v>-991.42268263781648</v>
      </c>
      <c r="O40" s="129">
        <f t="shared" ref="O40:S40" si="42">O139</f>
        <v>-1012.6443348702212</v>
      </c>
      <c r="P40" s="129">
        <f t="shared" si="42"/>
        <v>-1059.3836672567666</v>
      </c>
      <c r="Q40" s="129">
        <f t="shared" si="42"/>
        <v>-1135.9285275908815</v>
      </c>
      <c r="R40" s="129">
        <f t="shared" si="42"/>
        <v>-1248.5357583211271</v>
      </c>
      <c r="S40" s="129">
        <f t="shared" si="42"/>
        <v>-1406.3154561202434</v>
      </c>
    </row>
    <row r="41" spans="2:19" x14ac:dyDescent="0.3">
      <c r="E41" s="4"/>
      <c r="F41" s="4"/>
      <c r="G41" s="4"/>
      <c r="H41" s="4"/>
      <c r="I41" s="4"/>
      <c r="J41" s="129"/>
      <c r="K41" s="129"/>
      <c r="L41" s="129"/>
      <c r="M41" s="129"/>
      <c r="N41" s="129"/>
      <c r="O41" s="129"/>
      <c r="P41" s="129"/>
      <c r="Q41" s="129"/>
      <c r="R41" s="129"/>
      <c r="S41" s="129"/>
    </row>
    <row r="42" spans="2:19" x14ac:dyDescent="0.3">
      <c r="B42" s="22" t="s">
        <v>167</v>
      </c>
      <c r="C42" s="6"/>
      <c r="D42" s="6"/>
      <c r="E42" s="7">
        <f>SUM(E39:E40)</f>
        <v>3987.2499999999986</v>
      </c>
      <c r="F42" s="7">
        <f t="shared" ref="F42:I42" si="43">SUM(F39:F40)</f>
        <v>5401.82</v>
      </c>
      <c r="G42" s="7">
        <f t="shared" si="43"/>
        <v>6731.9799999999968</v>
      </c>
      <c r="H42" s="7">
        <f t="shared" si="43"/>
        <v>4979.8700000000044</v>
      </c>
      <c r="I42" s="7">
        <f t="shared" si="43"/>
        <v>5467.0700000000015</v>
      </c>
      <c r="J42" s="130">
        <f>SUM(J39:J40)</f>
        <v>5848.9130411694514</v>
      </c>
      <c r="K42" s="130">
        <f t="shared" ref="K42:N42" si="44">SUM(K39:K40)</f>
        <v>6333.7084612486633</v>
      </c>
      <c r="L42" s="130">
        <f t="shared" si="44"/>
        <v>6846.941310559735</v>
      </c>
      <c r="M42" s="130">
        <f t="shared" si="44"/>
        <v>7393.9943912975832</v>
      </c>
      <c r="N42" s="130">
        <f t="shared" si="44"/>
        <v>7980.42461020257</v>
      </c>
      <c r="O42" s="130">
        <f t="shared" ref="O42:S42" si="45">SUM(O39:O40)</f>
        <v>8611.9352728368231</v>
      </c>
      <c r="P42" s="130">
        <f t="shared" si="45"/>
        <v>9294.2904835185163</v>
      </c>
      <c r="Q42" s="130">
        <f t="shared" si="45"/>
        <v>10033.132572765233</v>
      </c>
      <c r="R42" s="130">
        <f t="shared" si="45"/>
        <v>10833.633962244265</v>
      </c>
      <c r="S42" s="130">
        <f t="shared" si="45"/>
        <v>11699.859119948771</v>
      </c>
    </row>
    <row r="43" spans="2:19" x14ac:dyDescent="0.3">
      <c r="B43" t="s">
        <v>176</v>
      </c>
      <c r="E43" s="32">
        <f>-'P&amp;L'!D26</f>
        <v>-95.41</v>
      </c>
      <c r="F43" s="32">
        <f>-'P&amp;L'!E26</f>
        <v>-144.44999999999999</v>
      </c>
      <c r="G43" s="32">
        <f>-'P&amp;L'!F26</f>
        <v>-205.17</v>
      </c>
      <c r="H43" s="32">
        <f>-'P&amp;L'!G26</f>
        <v>-227.02</v>
      </c>
      <c r="I43" s="32">
        <f>-'P&amp;L'!H26</f>
        <v>-195.41</v>
      </c>
      <c r="J43" s="129">
        <f>J146</f>
        <v>-294.08714429841007</v>
      </c>
      <c r="K43" s="129">
        <f t="shared" ref="K43:N43" si="46">K146</f>
        <v>-294.08714429841007</v>
      </c>
      <c r="L43" s="129">
        <f t="shared" si="46"/>
        <v>-294.08714429841007</v>
      </c>
      <c r="M43" s="129">
        <f t="shared" si="46"/>
        <v>-294.08714429841007</v>
      </c>
      <c r="N43" s="129">
        <f t="shared" si="46"/>
        <v>-294.08714429841007</v>
      </c>
      <c r="O43" s="129">
        <f t="shared" ref="O43:S43" si="47">O146</f>
        <v>-294.08714429841007</v>
      </c>
      <c r="P43" s="129">
        <f t="shared" si="47"/>
        <v>-294.08714429841007</v>
      </c>
      <c r="Q43" s="129">
        <f t="shared" si="47"/>
        <v>-294.08714429841007</v>
      </c>
      <c r="R43" s="129">
        <f t="shared" si="47"/>
        <v>-294.08714429841007</v>
      </c>
      <c r="S43" s="129">
        <f t="shared" si="47"/>
        <v>-294.08714429841007</v>
      </c>
    </row>
    <row r="44" spans="2:19" x14ac:dyDescent="0.3">
      <c r="B44" t="s">
        <v>179</v>
      </c>
      <c r="E44" s="32">
        <f>'P&amp;L'!D13</f>
        <v>380.01</v>
      </c>
      <c r="F44" s="32">
        <f>'P&amp;L'!E13</f>
        <v>386.48</v>
      </c>
      <c r="G44" s="32">
        <f>'P&amp;L'!F13</f>
        <v>687.96</v>
      </c>
      <c r="H44" s="32">
        <f>'P&amp;L'!G13</f>
        <v>572.61</v>
      </c>
      <c r="I44" s="32">
        <f>'P&amp;L'!H13</f>
        <v>723.8</v>
      </c>
      <c r="J44" s="129">
        <f>J30*J18</f>
        <v>608.80799463362439</v>
      </c>
      <c r="K44" s="129">
        <f t="shared" ref="K44:N44" si="48">K30*K18</f>
        <v>645.79514482834418</v>
      </c>
      <c r="L44" s="129">
        <f t="shared" si="48"/>
        <v>686.96677525851305</v>
      </c>
      <c r="M44" s="129">
        <f t="shared" si="48"/>
        <v>732.82413707095156</v>
      </c>
      <c r="N44" s="129">
        <f t="shared" si="48"/>
        <v>783.94110570187536</v>
      </c>
      <c r="O44" s="129">
        <f t="shared" ref="O44:S44" si="49">O30*O18</f>
        <v>840.97547955398704</v>
      </c>
      <c r="P44" s="129">
        <f t="shared" si="49"/>
        <v>904.68222395101145</v>
      </c>
      <c r="Q44" s="129">
        <f t="shared" si="49"/>
        <v>975.92901694306067</v>
      </c>
      <c r="R44" s="129">
        <f t="shared" si="49"/>
        <v>1055.714523538119</v>
      </c>
      <c r="S44" s="129">
        <f t="shared" si="49"/>
        <v>1145.1899094275125</v>
      </c>
    </row>
    <row r="45" spans="2:19" x14ac:dyDescent="0.3">
      <c r="E45" s="4"/>
      <c r="F45" s="4"/>
      <c r="G45" s="4"/>
      <c r="H45" s="4"/>
      <c r="I45" s="4"/>
      <c r="J45" s="129"/>
      <c r="K45" s="129"/>
      <c r="L45" s="129"/>
      <c r="M45" s="129"/>
      <c r="N45" s="129"/>
      <c r="O45" s="129"/>
      <c r="P45" s="129"/>
      <c r="Q45" s="129"/>
      <c r="R45" s="129"/>
      <c r="S45" s="129"/>
    </row>
    <row r="46" spans="2:19" x14ac:dyDescent="0.3">
      <c r="B46" s="22" t="s">
        <v>168</v>
      </c>
      <c r="C46" s="6"/>
      <c r="D46" s="6"/>
      <c r="E46" s="7">
        <f>SUM(E42:E44)</f>
        <v>4271.8499999999985</v>
      </c>
      <c r="F46" s="7">
        <f t="shared" ref="F46:J46" si="50">SUM(F42:F44)</f>
        <v>5643.85</v>
      </c>
      <c r="G46" s="7">
        <f t="shared" si="50"/>
        <v>7214.7699999999968</v>
      </c>
      <c r="H46" s="7">
        <f t="shared" si="50"/>
        <v>5325.4600000000037</v>
      </c>
      <c r="I46" s="7">
        <f t="shared" si="50"/>
        <v>5995.4600000000019</v>
      </c>
      <c r="J46" s="130">
        <f t="shared" si="50"/>
        <v>6163.6338915046663</v>
      </c>
      <c r="K46" s="130">
        <f t="shared" ref="K46:N46" si="51">SUM(K42:K44)</f>
        <v>6685.4164617785973</v>
      </c>
      <c r="L46" s="130">
        <f t="shared" si="51"/>
        <v>7239.820941519838</v>
      </c>
      <c r="M46" s="130">
        <f t="shared" si="51"/>
        <v>7832.7313840701245</v>
      </c>
      <c r="N46" s="130">
        <f t="shared" si="51"/>
        <v>8470.2785716060353</v>
      </c>
      <c r="O46" s="130">
        <f t="shared" ref="O46:S46" si="52">SUM(O42:O44)</f>
        <v>9158.8236080923998</v>
      </c>
      <c r="P46" s="130">
        <f t="shared" si="52"/>
        <v>9904.8855631711176</v>
      </c>
      <c r="Q46" s="130">
        <f t="shared" si="52"/>
        <v>10714.974445409884</v>
      </c>
      <c r="R46" s="130">
        <f t="shared" si="52"/>
        <v>11595.261341483974</v>
      </c>
      <c r="S46" s="130">
        <f t="shared" si="52"/>
        <v>12550.961885077873</v>
      </c>
    </row>
    <row r="47" spans="2:19" x14ac:dyDescent="0.3">
      <c r="B47" t="s">
        <v>169</v>
      </c>
      <c r="E47" s="32">
        <f>'P&amp;L'!D29</f>
        <v>31.57</v>
      </c>
      <c r="F47" s="32">
        <f>'P&amp;L'!E29</f>
        <v>93.85</v>
      </c>
      <c r="G47" s="32">
        <f>'P&amp;L'!F29</f>
        <v>133</v>
      </c>
      <c r="H47" s="32">
        <f>'P&amp;L'!G29</f>
        <v>140.71</v>
      </c>
      <c r="I47" s="32">
        <f>'P&amp;L'!H29</f>
        <v>165.59</v>
      </c>
      <c r="J47" s="129">
        <f>J30*J19</f>
        <v>123.12840864324053</v>
      </c>
      <c r="K47" s="129">
        <f t="shared" ref="K47:N47" si="53">K30*K19</f>
        <v>130.60887700743314</v>
      </c>
      <c r="L47" s="129">
        <f t="shared" si="53"/>
        <v>138.93563582268987</v>
      </c>
      <c r="M47" s="129">
        <f t="shared" si="53"/>
        <v>148.21006065664889</v>
      </c>
      <c r="N47" s="129">
        <f t="shared" si="53"/>
        <v>158.54821498062378</v>
      </c>
      <c r="O47" s="129">
        <f t="shared" ref="O47:S47" si="54">O30*O19</f>
        <v>170.08313527121601</v>
      </c>
      <c r="P47" s="129">
        <f t="shared" si="54"/>
        <v>182.96750953467787</v>
      </c>
      <c r="Q47" s="129">
        <f t="shared" si="54"/>
        <v>197.37682136923192</v>
      </c>
      <c r="R47" s="129">
        <f t="shared" si="54"/>
        <v>213.5130458380913</v>
      </c>
      <c r="S47" s="129">
        <f t="shared" si="54"/>
        <v>231.60900051413131</v>
      </c>
    </row>
    <row r="48" spans="2:19" x14ac:dyDescent="0.3">
      <c r="B48" t="s">
        <v>177</v>
      </c>
      <c r="E48" s="32">
        <f>-'P&amp;L'!D32</f>
        <v>-115.7</v>
      </c>
      <c r="F48" s="32">
        <f>-'P&amp;L'!E32</f>
        <v>-48.87</v>
      </c>
      <c r="G48" s="32">
        <f>-'P&amp;L'!F32</f>
        <v>0</v>
      </c>
      <c r="H48" s="32">
        <f>-'P&amp;L'!G32</f>
        <v>-363.1</v>
      </c>
      <c r="I48" s="32">
        <f>-'P&amp;L'!H32</f>
        <v>-157.61000000000001</v>
      </c>
      <c r="J48" s="129">
        <f>I48</f>
        <v>-157.61000000000001</v>
      </c>
      <c r="K48" s="129">
        <f t="shared" ref="K48:N48" si="55">J48</f>
        <v>-157.61000000000001</v>
      </c>
      <c r="L48" s="129">
        <f t="shared" si="55"/>
        <v>-157.61000000000001</v>
      </c>
      <c r="M48" s="129">
        <f t="shared" si="55"/>
        <v>-157.61000000000001</v>
      </c>
      <c r="N48" s="129">
        <f t="shared" si="55"/>
        <v>-157.61000000000001</v>
      </c>
      <c r="O48" s="129">
        <f t="shared" ref="O48" si="56">N48</f>
        <v>-157.61000000000001</v>
      </c>
      <c r="P48" s="129">
        <f t="shared" ref="P48" si="57">O48</f>
        <v>-157.61000000000001</v>
      </c>
      <c r="Q48" s="129">
        <f t="shared" ref="Q48" si="58">P48</f>
        <v>-157.61000000000001</v>
      </c>
      <c r="R48" s="129">
        <f t="shared" ref="R48" si="59">Q48</f>
        <v>-157.61000000000001</v>
      </c>
      <c r="S48" s="129">
        <f t="shared" ref="S48" si="60">R48</f>
        <v>-157.61000000000001</v>
      </c>
    </row>
    <row r="49" spans="2:19" x14ac:dyDescent="0.3">
      <c r="E49" s="4"/>
      <c r="F49" s="4"/>
      <c r="G49" s="4"/>
      <c r="H49" s="4"/>
      <c r="I49" s="4"/>
      <c r="J49" s="129"/>
      <c r="K49" s="129"/>
      <c r="L49" s="129"/>
      <c r="M49" s="129"/>
      <c r="N49" s="129"/>
      <c r="O49" s="129"/>
      <c r="P49" s="129"/>
      <c r="Q49" s="129"/>
      <c r="R49" s="129"/>
      <c r="S49" s="129"/>
    </row>
    <row r="50" spans="2:19" x14ac:dyDescent="0.3">
      <c r="B50" s="22" t="s">
        <v>170</v>
      </c>
      <c r="C50" s="6"/>
      <c r="D50" s="6"/>
      <c r="E50" s="7">
        <f>SUM(E46:E48)</f>
        <v>4187.7199999999984</v>
      </c>
      <c r="F50" s="7">
        <f t="shared" ref="F50:I50" si="61">SUM(F46:F48)</f>
        <v>5688.8300000000008</v>
      </c>
      <c r="G50" s="7">
        <f t="shared" si="61"/>
        <v>7347.7699999999968</v>
      </c>
      <c r="H50" s="7">
        <f t="shared" si="61"/>
        <v>5103.0700000000033</v>
      </c>
      <c r="I50" s="7">
        <f t="shared" si="61"/>
        <v>6003.4400000000023</v>
      </c>
      <c r="J50" s="130">
        <f>SUM(J46:J48)</f>
        <v>6129.1523001479072</v>
      </c>
      <c r="K50" s="130">
        <f t="shared" ref="K50:N50" si="62">SUM(K46:K48)</f>
        <v>6658.4153387860306</v>
      </c>
      <c r="L50" s="130">
        <f t="shared" si="62"/>
        <v>7221.146577342528</v>
      </c>
      <c r="M50" s="130">
        <f t="shared" si="62"/>
        <v>7823.331444726774</v>
      </c>
      <c r="N50" s="130">
        <f t="shared" si="62"/>
        <v>8471.2167865866577</v>
      </c>
      <c r="O50" s="130">
        <f t="shared" ref="O50:S50" si="63">SUM(O46:O48)</f>
        <v>9171.296743363615</v>
      </c>
      <c r="P50" s="130">
        <f t="shared" si="63"/>
        <v>9930.2430727057945</v>
      </c>
      <c r="Q50" s="130">
        <f t="shared" si="63"/>
        <v>10754.741266779114</v>
      </c>
      <c r="R50" s="130">
        <f t="shared" si="63"/>
        <v>11651.164387322066</v>
      </c>
      <c r="S50" s="130">
        <f t="shared" si="63"/>
        <v>12624.960885592003</v>
      </c>
    </row>
    <row r="51" spans="2:19" x14ac:dyDescent="0.3">
      <c r="B51" t="s">
        <v>178</v>
      </c>
      <c r="E51" s="32">
        <f>-'P&amp;L'!D38</f>
        <v>-1102.9099999999999</v>
      </c>
      <c r="F51" s="32">
        <f>-'P&amp;L'!E38</f>
        <v>-1493.5000000000002</v>
      </c>
      <c r="G51" s="32">
        <f>-'P&amp;L'!F38</f>
        <v>-1790.0800000000002</v>
      </c>
      <c r="H51" s="32">
        <f>-'P&amp;L'!G38</f>
        <v>-1393.36</v>
      </c>
      <c r="I51" s="32">
        <f>-'P&amp;L'!H38</f>
        <v>-1608.75</v>
      </c>
      <c r="J51" s="129">
        <f>-J50*J20</f>
        <v>-1606.4958423579253</v>
      </c>
      <c r="K51" s="129">
        <f t="shared" ref="K51:N51" si="64">-K50*K20</f>
        <v>-1745.2195727284936</v>
      </c>
      <c r="L51" s="129">
        <f t="shared" si="64"/>
        <v>-1892.7155641536249</v>
      </c>
      <c r="M51" s="129">
        <f t="shared" si="64"/>
        <v>-2050.5526415191694</v>
      </c>
      <c r="N51" s="129">
        <f t="shared" si="64"/>
        <v>-2220.3681489584978</v>
      </c>
      <c r="O51" s="129">
        <f t="shared" ref="O51:S51" si="65">-O50*O20</f>
        <v>-2403.864248386988</v>
      </c>
      <c r="P51" s="129">
        <f t="shared" si="65"/>
        <v>-2602.7896564946632</v>
      </c>
      <c r="Q51" s="129">
        <f t="shared" si="65"/>
        <v>-2818.8966898895492</v>
      </c>
      <c r="R51" s="129">
        <f t="shared" si="65"/>
        <v>-3053.8557748695416</v>
      </c>
      <c r="S51" s="129">
        <f t="shared" si="65"/>
        <v>-3309.0949905332823</v>
      </c>
    </row>
    <row r="52" spans="2:19" x14ac:dyDescent="0.3">
      <c r="E52" s="4"/>
      <c r="F52" s="4"/>
      <c r="G52" s="4"/>
      <c r="H52" s="4"/>
      <c r="I52" s="4"/>
      <c r="J52" s="129"/>
      <c r="K52" s="129"/>
      <c r="L52" s="129"/>
      <c r="M52" s="129"/>
      <c r="N52" s="129"/>
      <c r="O52" s="129"/>
      <c r="P52" s="129"/>
      <c r="Q52" s="129"/>
      <c r="R52" s="129"/>
      <c r="S52" s="129"/>
    </row>
    <row r="53" spans="2:19" x14ac:dyDescent="0.3">
      <c r="B53" s="22" t="s">
        <v>171</v>
      </c>
      <c r="C53" s="6"/>
      <c r="D53" s="6"/>
      <c r="E53" s="7">
        <f>SUM(E50:E51)</f>
        <v>3084.8099999999986</v>
      </c>
      <c r="F53" s="7">
        <f t="shared" ref="F53:I53" si="66">SUM(F50:F51)</f>
        <v>4195.3300000000008</v>
      </c>
      <c r="G53" s="7">
        <f t="shared" si="66"/>
        <v>5557.6899999999969</v>
      </c>
      <c r="H53" s="7">
        <f t="shared" si="66"/>
        <v>3709.7100000000037</v>
      </c>
      <c r="I53" s="7">
        <f t="shared" si="66"/>
        <v>4394.6900000000023</v>
      </c>
      <c r="J53" s="130">
        <f>SUM(J50:J51)</f>
        <v>4522.6564577899817</v>
      </c>
      <c r="K53" s="130">
        <f t="shared" ref="K53:N53" si="67">SUM(K50:K51)</f>
        <v>4913.1957660575372</v>
      </c>
      <c r="L53" s="130">
        <f t="shared" si="67"/>
        <v>5328.4310131889033</v>
      </c>
      <c r="M53" s="130">
        <f t="shared" si="67"/>
        <v>5772.7788032076041</v>
      </c>
      <c r="N53" s="130">
        <f t="shared" si="67"/>
        <v>6250.8486376281598</v>
      </c>
      <c r="O53" s="130">
        <f t="shared" ref="O53:S53" si="68">SUM(O50:O51)</f>
        <v>6767.4324949766269</v>
      </c>
      <c r="P53" s="130">
        <f t="shared" si="68"/>
        <v>7327.4534162111313</v>
      </c>
      <c r="Q53" s="130">
        <f t="shared" si="68"/>
        <v>7935.8445768895654</v>
      </c>
      <c r="R53" s="130">
        <f t="shared" si="68"/>
        <v>8597.3086124525234</v>
      </c>
      <c r="S53" s="130">
        <f t="shared" si="68"/>
        <v>9315.8658950587214</v>
      </c>
    </row>
    <row r="54" spans="2:19" x14ac:dyDescent="0.3">
      <c r="J54" s="88"/>
      <c r="K54" s="88"/>
      <c r="L54" s="88"/>
      <c r="M54" s="88"/>
      <c r="N54" s="88"/>
      <c r="O54" s="88"/>
      <c r="P54" s="88"/>
      <c r="Q54" s="88"/>
      <c r="R54" s="88"/>
      <c r="S54" s="88"/>
    </row>
    <row r="55" spans="2:19" x14ac:dyDescent="0.3">
      <c r="B55" s="5" t="s">
        <v>457</v>
      </c>
      <c r="C55" s="5"/>
      <c r="D55" s="5"/>
      <c r="E55" s="23">
        <f t="shared" ref="E55:N55" si="69">SUM(E53:E53)</f>
        <v>3084.8099999999986</v>
      </c>
      <c r="F55" s="23">
        <f t="shared" si="69"/>
        <v>4195.3300000000008</v>
      </c>
      <c r="G55" s="23">
        <f t="shared" si="69"/>
        <v>5557.6899999999969</v>
      </c>
      <c r="H55" s="23">
        <f t="shared" si="69"/>
        <v>3709.7100000000037</v>
      </c>
      <c r="I55" s="23">
        <f t="shared" si="69"/>
        <v>4394.6900000000023</v>
      </c>
      <c r="J55" s="131">
        <f t="shared" si="69"/>
        <v>4522.6564577899817</v>
      </c>
      <c r="K55" s="131">
        <f t="shared" si="69"/>
        <v>4913.1957660575372</v>
      </c>
      <c r="L55" s="131">
        <f t="shared" si="69"/>
        <v>5328.4310131889033</v>
      </c>
      <c r="M55" s="131">
        <f t="shared" si="69"/>
        <v>5772.7788032076041</v>
      </c>
      <c r="N55" s="131">
        <f t="shared" si="69"/>
        <v>6250.8486376281598</v>
      </c>
      <c r="O55" s="131">
        <f t="shared" ref="O55:S55" si="70">SUM(O53:O53)</f>
        <v>6767.4324949766269</v>
      </c>
      <c r="P55" s="131">
        <f t="shared" si="70"/>
        <v>7327.4534162111313</v>
      </c>
      <c r="Q55" s="131">
        <f t="shared" si="70"/>
        <v>7935.8445768895654</v>
      </c>
      <c r="R55" s="131">
        <f t="shared" si="70"/>
        <v>8597.3086124525234</v>
      </c>
      <c r="S55" s="131">
        <f t="shared" si="70"/>
        <v>9315.8658950587214</v>
      </c>
    </row>
    <row r="57" spans="2:19" ht="18" x14ac:dyDescent="0.35">
      <c r="B57" s="20" t="s">
        <v>180</v>
      </c>
      <c r="C57" s="3"/>
      <c r="D57" s="3"/>
      <c r="E57" s="3"/>
      <c r="F57" s="3"/>
      <c r="G57" s="3"/>
      <c r="H57" s="3"/>
      <c r="I57" s="3"/>
      <c r="J57" s="3"/>
      <c r="K57" s="3"/>
      <c r="L57" s="3"/>
      <c r="M57" s="3"/>
      <c r="N57" s="3"/>
      <c r="O57" s="3"/>
      <c r="P57" s="3"/>
      <c r="Q57" s="3"/>
      <c r="R57" s="3"/>
      <c r="S57" s="3"/>
    </row>
    <row r="59" spans="2:19" ht="15.6" x14ac:dyDescent="0.3">
      <c r="B59" s="21" t="s">
        <v>181</v>
      </c>
    </row>
    <row r="60" spans="2:19" x14ac:dyDescent="0.3">
      <c r="B60" s="1" t="s">
        <v>182</v>
      </c>
    </row>
    <row r="61" spans="2:19" x14ac:dyDescent="0.3">
      <c r="B61" s="24" t="s">
        <v>183</v>
      </c>
      <c r="E61" s="32">
        <f>BS!D32</f>
        <v>621.72</v>
      </c>
      <c r="F61" s="32">
        <f>BS!E32</f>
        <v>523.1</v>
      </c>
      <c r="G61" s="32">
        <f>BS!F32</f>
        <v>829.34</v>
      </c>
      <c r="H61" s="32">
        <f>BS!G32</f>
        <v>445.28</v>
      </c>
      <c r="I61" s="32">
        <f>BS!H32</f>
        <v>672.83</v>
      </c>
      <c r="J61" s="129">
        <f>J125</f>
        <v>1949.0620612295443</v>
      </c>
      <c r="K61" s="129">
        <f t="shared" ref="K61:N61" si="71">K125</f>
        <v>3928.2322442657951</v>
      </c>
      <c r="L61" s="129">
        <f t="shared" si="71"/>
        <v>5860.3042940663972</v>
      </c>
      <c r="M61" s="129">
        <f t="shared" si="71"/>
        <v>7742.667568502673</v>
      </c>
      <c r="N61" s="129">
        <f t="shared" si="71"/>
        <v>9566.7449207427053</v>
      </c>
      <c r="O61" s="129">
        <f t="shared" ref="O61:S61" si="72">O125</f>
        <v>11315.88637105489</v>
      </c>
      <c r="P61" s="129">
        <f t="shared" si="72"/>
        <v>12962.154345249266</v>
      </c>
      <c r="Q61" s="129">
        <f t="shared" si="72"/>
        <v>14461.333566054251</v>
      </c>
      <c r="R61" s="129">
        <f t="shared" si="72"/>
        <v>15744.987772338889</v>
      </c>
      <c r="S61" s="129">
        <f t="shared" si="72"/>
        <v>16707.381195452217</v>
      </c>
    </row>
    <row r="62" spans="2:19" x14ac:dyDescent="0.3">
      <c r="B62" s="24" t="s">
        <v>184</v>
      </c>
      <c r="E62" s="32">
        <f>BS!D33</f>
        <v>242.61</v>
      </c>
      <c r="F62" s="32">
        <f>BS!E33</f>
        <v>320.72000000000003</v>
      </c>
      <c r="G62" s="32">
        <f>BS!F33</f>
        <v>254.67</v>
      </c>
      <c r="H62" s="32">
        <f>BS!G33</f>
        <v>336.7</v>
      </c>
      <c r="I62" s="32">
        <f>BS!H33</f>
        <v>400.85</v>
      </c>
      <c r="J62" s="129">
        <f>I62</f>
        <v>400.85</v>
      </c>
      <c r="K62" s="129">
        <f t="shared" ref="K62:N62" si="73">J62</f>
        <v>400.85</v>
      </c>
      <c r="L62" s="129">
        <f t="shared" si="73"/>
        <v>400.85</v>
      </c>
      <c r="M62" s="129">
        <f t="shared" si="73"/>
        <v>400.85</v>
      </c>
      <c r="N62" s="129">
        <f t="shared" si="73"/>
        <v>400.85</v>
      </c>
      <c r="O62" s="129">
        <f t="shared" ref="O62" si="74">N62</f>
        <v>400.85</v>
      </c>
      <c r="P62" s="129">
        <f t="shared" ref="P62" si="75">O62</f>
        <v>400.85</v>
      </c>
      <c r="Q62" s="129">
        <f t="shared" ref="Q62" si="76">P62</f>
        <v>400.85</v>
      </c>
      <c r="R62" s="129">
        <f t="shared" ref="R62" si="77">Q62</f>
        <v>400.85</v>
      </c>
      <c r="S62" s="129">
        <f t="shared" ref="S62" si="78">R62</f>
        <v>400.85</v>
      </c>
    </row>
    <row r="63" spans="2:19" x14ac:dyDescent="0.3">
      <c r="B63" t="s">
        <v>185</v>
      </c>
      <c r="E63" s="32">
        <f>BS!D31+BS!D19</f>
        <v>3873.84</v>
      </c>
      <c r="F63" s="32">
        <f>BS!E31+BS!E19</f>
        <v>4639.1099999999997</v>
      </c>
      <c r="G63" s="32">
        <f>BS!F31+BS!F19</f>
        <v>4890.83</v>
      </c>
      <c r="H63" s="32">
        <f>BS!G31+BS!G19</f>
        <v>4322.3599999999997</v>
      </c>
      <c r="I63" s="32">
        <f>BS!H31+BS!H19</f>
        <v>4467.16</v>
      </c>
      <c r="J63" s="129">
        <f>(J30*J22)/365</f>
        <v>4956.5512468541028</v>
      </c>
      <c r="K63" s="129">
        <f>(K30*K22)/365</f>
        <v>5257.6785431957742</v>
      </c>
      <c r="L63" s="129">
        <f>(L30*L22)/365</f>
        <v>5592.8733795685739</v>
      </c>
      <c r="M63" s="129">
        <f>(M30*M22)/365</f>
        <v>5966.2166435736171</v>
      </c>
      <c r="N63" s="129">
        <f>(N30*N22)/365</f>
        <v>6382.3804864211133</v>
      </c>
      <c r="O63" s="129">
        <f t="shared" ref="O63:S63" si="79">(O30*O22)/365</f>
        <v>6846.7203100141815</v>
      </c>
      <c r="P63" s="129">
        <f t="shared" si="79"/>
        <v>7365.3825913203136</v>
      </c>
      <c r="Q63" s="129">
        <f t="shared" si="79"/>
        <v>7945.4314470381387</v>
      </c>
      <c r="R63" s="129">
        <f t="shared" si="79"/>
        <v>8594.9974114808501</v>
      </c>
      <c r="S63" s="129">
        <f t="shared" si="79"/>
        <v>9323.4525884857321</v>
      </c>
    </row>
    <row r="64" spans="2:19" x14ac:dyDescent="0.3">
      <c r="B64" t="s">
        <v>20</v>
      </c>
      <c r="E64" s="32">
        <f>BS!D28</f>
        <v>6152.98</v>
      </c>
      <c r="F64" s="32">
        <f>BS!E28</f>
        <v>6210.64</v>
      </c>
      <c r="G64" s="32">
        <f>BS!F28</f>
        <v>5923.41</v>
      </c>
      <c r="H64" s="32">
        <f>BS!G28</f>
        <v>6719.27</v>
      </c>
      <c r="I64" s="32">
        <f>BS!H28</f>
        <v>5743.69</v>
      </c>
      <c r="J64" s="129">
        <f>-(J31*J23)/365</f>
        <v>6901.7001083913619</v>
      </c>
      <c r="K64" s="129">
        <f>-(K31*K23)/365</f>
        <v>7321.0017942399627</v>
      </c>
      <c r="L64" s="129">
        <f>-(L31*L23)/365</f>
        <v>7787.7404847749767</v>
      </c>
      <c r="M64" s="129">
        <f>-(M31*M23)/365</f>
        <v>8307.598571037317</v>
      </c>
      <c r="N64" s="129">
        <f>-(N31*N23)/365</f>
        <v>8887.0817431546493</v>
      </c>
      <c r="O64" s="129">
        <f t="shared" ref="O64:S64" si="80">-(O31*O23)/365</f>
        <v>9533.6470768343388</v>
      </c>
      <c r="P64" s="129">
        <f t="shared" si="80"/>
        <v>10255.853172328867</v>
      </c>
      <c r="Q64" s="129">
        <f t="shared" si="80"/>
        <v>11063.53638813762</v>
      </c>
      <c r="R64" s="129">
        <f t="shared" si="80"/>
        <v>11968.018005279579</v>
      </c>
      <c r="S64" s="129">
        <f t="shared" si="80"/>
        <v>12982.348115814364</v>
      </c>
    </row>
    <row r="65" spans="2:19" x14ac:dyDescent="0.3">
      <c r="B65" t="s">
        <v>186</v>
      </c>
      <c r="E65" s="32">
        <f>BS!D36+BS!D37</f>
        <v>549.38</v>
      </c>
      <c r="F65" s="32">
        <f>BS!E36+BS!E37</f>
        <v>553.98</v>
      </c>
      <c r="G65" s="32">
        <f>BS!F36+BS!F37</f>
        <v>785.83</v>
      </c>
      <c r="H65" s="32">
        <f>BS!G36+BS!G37</f>
        <v>773.71</v>
      </c>
      <c r="I65" s="32">
        <f>BS!H36+BS!H37</f>
        <v>796.51</v>
      </c>
      <c r="J65" s="129">
        <f>I65</f>
        <v>796.51</v>
      </c>
      <c r="K65" s="129">
        <f t="shared" ref="K65:N65" si="81">J65</f>
        <v>796.51</v>
      </c>
      <c r="L65" s="129">
        <f t="shared" si="81"/>
        <v>796.51</v>
      </c>
      <c r="M65" s="129">
        <f t="shared" si="81"/>
        <v>796.51</v>
      </c>
      <c r="N65" s="129">
        <f t="shared" si="81"/>
        <v>796.51</v>
      </c>
      <c r="O65" s="129">
        <f t="shared" ref="O65" si="82">N65</f>
        <v>796.51</v>
      </c>
      <c r="P65" s="129">
        <f t="shared" ref="P65" si="83">O65</f>
        <v>796.51</v>
      </c>
      <c r="Q65" s="129">
        <f t="shared" ref="Q65" si="84">P65</f>
        <v>796.51</v>
      </c>
      <c r="R65" s="129">
        <f t="shared" ref="R65" si="85">Q65</f>
        <v>796.51</v>
      </c>
      <c r="S65" s="129">
        <f t="shared" ref="S65" si="86">R65</f>
        <v>796.51</v>
      </c>
    </row>
    <row r="66" spans="2:19" x14ac:dyDescent="0.3">
      <c r="E66" s="32"/>
      <c r="F66" s="32"/>
      <c r="G66" s="32"/>
      <c r="H66" s="32"/>
      <c r="I66" s="32"/>
      <c r="J66" s="129"/>
      <c r="K66" s="129"/>
      <c r="L66" s="129"/>
      <c r="M66" s="129"/>
      <c r="N66" s="129"/>
      <c r="O66" s="129"/>
      <c r="P66" s="129"/>
      <c r="Q66" s="129"/>
      <c r="R66" s="129"/>
      <c r="S66" s="129"/>
    </row>
    <row r="67" spans="2:19" x14ac:dyDescent="0.3">
      <c r="B67" s="1" t="s">
        <v>187</v>
      </c>
      <c r="E67" s="32"/>
      <c r="F67" s="32"/>
      <c r="G67" s="32"/>
      <c r="H67" s="32"/>
      <c r="I67" s="32"/>
      <c r="J67" s="129"/>
      <c r="K67" s="129"/>
      <c r="L67" s="129"/>
      <c r="M67" s="129"/>
      <c r="N67" s="129"/>
      <c r="O67" s="129"/>
      <c r="P67" s="129"/>
      <c r="Q67" s="129"/>
      <c r="R67" s="129"/>
      <c r="S67" s="129"/>
    </row>
    <row r="68" spans="2:19" x14ac:dyDescent="0.3">
      <c r="B68" t="s">
        <v>188</v>
      </c>
      <c r="E68" s="32">
        <f>BS!D11+BS!D12+BS!D14+BS!D15</f>
        <v>5519.0599999999995</v>
      </c>
      <c r="F68" s="32">
        <f>BS!E11+BS!E12+BS!E14+BS!E15</f>
        <v>5770.4599999999991</v>
      </c>
      <c r="G68" s="32">
        <f>BS!F11+BS!F12+BS!F14+BS!F15</f>
        <v>7146.619999999999</v>
      </c>
      <c r="H68" s="32">
        <f>BS!G11+BS!G12+BS!G14+BS!G15</f>
        <v>9220.1</v>
      </c>
      <c r="I68" s="32">
        <f>BS!H11+BS!H12+BS!H14+BS!H15</f>
        <v>9640.2800000000007</v>
      </c>
      <c r="J68" s="129">
        <f>J140</f>
        <v>9110.3185522486019</v>
      </c>
      <c r="K68" s="129">
        <f t="shared" ref="K68:N68" si="87">K140</f>
        <v>8747.9955561648458</v>
      </c>
      <c r="L68" s="129">
        <f t="shared" si="87"/>
        <v>8556.3599706396744</v>
      </c>
      <c r="M68" s="129">
        <f t="shared" si="87"/>
        <v>8544.123215698668</v>
      </c>
      <c r="N68" s="129">
        <f t="shared" si="87"/>
        <v>8727.0123251468649</v>
      </c>
      <c r="O68" s="129">
        <f t="shared" ref="O68:S68" si="88">O140</f>
        <v>9129.8138969927113</v>
      </c>
      <c r="P68" s="129">
        <f t="shared" si="88"/>
        <v>9789.4807874889466</v>
      </c>
      <c r="Q68" s="129">
        <f t="shared" si="88"/>
        <v>10759.934733305425</v>
      </c>
      <c r="R68" s="129">
        <f t="shared" si="88"/>
        <v>12119.686938434093</v>
      </c>
      <c r="S68" s="129">
        <f t="shared" si="88"/>
        <v>13984.363341627115</v>
      </c>
    </row>
    <row r="69" spans="2:19" x14ac:dyDescent="0.3">
      <c r="B69" t="s">
        <v>6</v>
      </c>
      <c r="E69" s="32">
        <f>BS!D13</f>
        <v>426.43</v>
      </c>
      <c r="F69" s="32">
        <f>BS!E13</f>
        <v>1019.59</v>
      </c>
      <c r="G69" s="32">
        <f>BS!F13</f>
        <v>2698.37</v>
      </c>
      <c r="H69" s="32">
        <f>BS!G13</f>
        <v>1254.49</v>
      </c>
      <c r="I69" s="32">
        <f>BS!H13</f>
        <v>1848.67</v>
      </c>
      <c r="J69" s="129">
        <f>I69</f>
        <v>1848.67</v>
      </c>
      <c r="K69" s="129">
        <f t="shared" ref="K69:N69" si="89">J69</f>
        <v>1848.67</v>
      </c>
      <c r="L69" s="129">
        <f t="shared" si="89"/>
        <v>1848.67</v>
      </c>
      <c r="M69" s="129">
        <f t="shared" si="89"/>
        <v>1848.67</v>
      </c>
      <c r="N69" s="129">
        <f t="shared" si="89"/>
        <v>1848.67</v>
      </c>
      <c r="O69" s="129">
        <f t="shared" ref="O69:O71" si="90">N69</f>
        <v>1848.67</v>
      </c>
      <c r="P69" s="129">
        <f t="shared" ref="P69:P71" si="91">O69</f>
        <v>1848.67</v>
      </c>
      <c r="Q69" s="129">
        <f t="shared" ref="Q69:Q71" si="92">P69</f>
        <v>1848.67</v>
      </c>
      <c r="R69" s="129">
        <f t="shared" ref="R69:R71" si="93">Q69</f>
        <v>1848.67</v>
      </c>
      <c r="S69" s="129">
        <f t="shared" ref="S69:S71" si="94">R69</f>
        <v>1848.67</v>
      </c>
    </row>
    <row r="70" spans="2:19" x14ac:dyDescent="0.3">
      <c r="B70" t="s">
        <v>10</v>
      </c>
      <c r="E70" s="32">
        <f>SUM(BS!D16,BS!D18,BS!D20:D23,BS!D30,BS!D34:D35)</f>
        <v>5465.5599999999995</v>
      </c>
      <c r="F70" s="32">
        <f>SUM(BS!E16,BS!E18,BS!E20:E23,BS!E30,BS!E34:E35)</f>
        <v>6425.86</v>
      </c>
      <c r="G70" s="32">
        <f>SUM(BS!F16,BS!F18,BS!F20:F23,BS!F30,BS!F34:F35)</f>
        <v>7067.2099999999991</v>
      </c>
      <c r="H70" s="32">
        <f>SUM(BS!G16,BS!G18,BS!G20:G23,BS!G30,BS!G34:G35)</f>
        <v>6998.44</v>
      </c>
      <c r="I70" s="32">
        <f>SUM(BS!H16,BS!H18,BS!H20:H23,BS!H30,BS!H34:H35)</f>
        <v>10688.589999999998</v>
      </c>
      <c r="J70" s="129">
        <f>I70</f>
        <v>10688.589999999998</v>
      </c>
      <c r="K70" s="129">
        <f t="shared" ref="K70:N70" si="95">J70</f>
        <v>10688.589999999998</v>
      </c>
      <c r="L70" s="129">
        <f t="shared" si="95"/>
        <v>10688.589999999998</v>
      </c>
      <c r="M70" s="129">
        <f t="shared" si="95"/>
        <v>10688.589999999998</v>
      </c>
      <c r="N70" s="129">
        <f t="shared" si="95"/>
        <v>10688.589999999998</v>
      </c>
      <c r="O70" s="129">
        <f t="shared" si="90"/>
        <v>10688.589999999998</v>
      </c>
      <c r="P70" s="129">
        <f t="shared" si="91"/>
        <v>10688.589999999998</v>
      </c>
      <c r="Q70" s="129">
        <f t="shared" si="92"/>
        <v>10688.589999999998</v>
      </c>
      <c r="R70" s="129">
        <f t="shared" si="93"/>
        <v>10688.589999999998</v>
      </c>
      <c r="S70" s="129">
        <f t="shared" si="94"/>
        <v>10688.589999999998</v>
      </c>
    </row>
    <row r="71" spans="2:19" x14ac:dyDescent="0.3">
      <c r="B71" t="s">
        <v>189</v>
      </c>
      <c r="E71" s="32">
        <f>BS!D24</f>
        <v>132.87</v>
      </c>
      <c r="F71" s="32">
        <f>BS!E24</f>
        <v>334.54</v>
      </c>
      <c r="G71" s="32">
        <f>BS!F24</f>
        <v>327.81</v>
      </c>
      <c r="H71" s="32">
        <f>BS!G24</f>
        <v>301.02</v>
      </c>
      <c r="I71" s="32">
        <f>BS!H24</f>
        <v>275.91000000000003</v>
      </c>
      <c r="J71" s="129">
        <f>I71</f>
        <v>275.91000000000003</v>
      </c>
      <c r="K71" s="129">
        <f t="shared" ref="K71:N71" si="96">J71</f>
        <v>275.91000000000003</v>
      </c>
      <c r="L71" s="129">
        <f t="shared" si="96"/>
        <v>275.91000000000003</v>
      </c>
      <c r="M71" s="129">
        <f t="shared" si="96"/>
        <v>275.91000000000003</v>
      </c>
      <c r="N71" s="129">
        <f t="shared" si="96"/>
        <v>275.91000000000003</v>
      </c>
      <c r="O71" s="129">
        <f t="shared" si="90"/>
        <v>275.91000000000003</v>
      </c>
      <c r="P71" s="129">
        <f t="shared" si="91"/>
        <v>275.91000000000003</v>
      </c>
      <c r="Q71" s="129">
        <f t="shared" si="92"/>
        <v>275.91000000000003</v>
      </c>
      <c r="R71" s="129">
        <f t="shared" si="93"/>
        <v>275.91000000000003</v>
      </c>
      <c r="S71" s="129">
        <f t="shared" si="94"/>
        <v>275.91000000000003</v>
      </c>
    </row>
    <row r="72" spans="2:19" x14ac:dyDescent="0.3">
      <c r="J72" s="88"/>
      <c r="K72" s="88"/>
      <c r="L72" s="88"/>
      <c r="M72" s="88"/>
      <c r="N72" s="88"/>
      <c r="O72" s="88"/>
      <c r="P72" s="88"/>
      <c r="Q72" s="88"/>
      <c r="R72" s="88"/>
      <c r="S72" s="88"/>
    </row>
    <row r="73" spans="2:19" x14ac:dyDescent="0.3">
      <c r="B73" s="10" t="s">
        <v>26</v>
      </c>
      <c r="C73" s="13"/>
      <c r="D73" s="13"/>
      <c r="E73" s="11">
        <f t="shared" ref="E73:S73" si="97">SUM(E61:E71)</f>
        <v>22984.449999999993</v>
      </c>
      <c r="F73" s="11">
        <f t="shared" si="97"/>
        <v>25798</v>
      </c>
      <c r="G73" s="11">
        <f t="shared" si="97"/>
        <v>29924.089999999997</v>
      </c>
      <c r="H73" s="11">
        <f t="shared" si="97"/>
        <v>30371.37</v>
      </c>
      <c r="I73" s="11">
        <f t="shared" si="97"/>
        <v>34534.49</v>
      </c>
      <c r="J73" s="132">
        <f t="shared" si="97"/>
        <v>36928.161968723609</v>
      </c>
      <c r="K73" s="132">
        <f t="shared" si="97"/>
        <v>39265.438137866375</v>
      </c>
      <c r="L73" s="132">
        <f t="shared" si="97"/>
        <v>41807.808129049619</v>
      </c>
      <c r="M73" s="132">
        <f t="shared" si="97"/>
        <v>44571.135998812271</v>
      </c>
      <c r="N73" s="132">
        <f t="shared" si="97"/>
        <v>47573.749475465331</v>
      </c>
      <c r="O73" s="132">
        <f t="shared" si="97"/>
        <v>50836.597654896119</v>
      </c>
      <c r="P73" s="132">
        <f t="shared" si="97"/>
        <v>54383.400896387393</v>
      </c>
      <c r="Q73" s="132">
        <f t="shared" si="97"/>
        <v>58240.766134535435</v>
      </c>
      <c r="R73" s="132">
        <f t="shared" si="97"/>
        <v>62438.220127533408</v>
      </c>
      <c r="S73" s="132">
        <f t="shared" si="97"/>
        <v>67008.075241379425</v>
      </c>
    </row>
    <row r="74" spans="2:19" x14ac:dyDescent="0.3">
      <c r="J74" s="88"/>
      <c r="K74" s="88"/>
      <c r="L74" s="88"/>
      <c r="M74" s="88"/>
      <c r="N74" s="88"/>
      <c r="O74" s="88"/>
      <c r="P74" s="88"/>
      <c r="Q74" s="88"/>
      <c r="R74" s="88"/>
      <c r="S74" s="88"/>
    </row>
    <row r="75" spans="2:19" x14ac:dyDescent="0.3">
      <c r="B75" s="1" t="s">
        <v>34</v>
      </c>
      <c r="J75" s="88"/>
      <c r="K75" s="88"/>
      <c r="L75" s="88"/>
      <c r="M75" s="88"/>
      <c r="N75" s="88"/>
      <c r="O75" s="88"/>
      <c r="P75" s="88"/>
      <c r="Q75" s="88"/>
      <c r="R75" s="88"/>
      <c r="S75" s="88"/>
    </row>
    <row r="76" spans="2:19" x14ac:dyDescent="0.3">
      <c r="B76" s="1" t="s">
        <v>44</v>
      </c>
      <c r="J76" s="88"/>
      <c r="K76" s="88"/>
      <c r="L76" s="88"/>
      <c r="M76" s="88"/>
      <c r="N76" s="88"/>
      <c r="O76" s="88"/>
      <c r="P76" s="88"/>
      <c r="Q76" s="88"/>
      <c r="R76" s="88"/>
      <c r="S76" s="88"/>
    </row>
    <row r="77" spans="2:19" x14ac:dyDescent="0.3">
      <c r="B77" t="s">
        <v>190</v>
      </c>
      <c r="E77" s="32">
        <f>SUM(BS!D66:D67)</f>
        <v>4164.3</v>
      </c>
      <c r="F77" s="32">
        <f>SUM(BS!E66:E67)</f>
        <v>3635.44</v>
      </c>
      <c r="G77" s="32">
        <f>SUM(BS!F66:F67)</f>
        <v>3831.34</v>
      </c>
      <c r="H77" s="32">
        <f>SUM(BS!G66:G67)</f>
        <v>3848</v>
      </c>
      <c r="I77" s="32">
        <f>SUM(BS!H66:H67)</f>
        <v>3863.04</v>
      </c>
      <c r="J77" s="129">
        <f t="shared" ref="J77:S77" si="98">-(J31*J24)/365</f>
        <v>4348.4018789123566</v>
      </c>
      <c r="K77" s="129">
        <f t="shared" si="98"/>
        <v>4612.5820388642996</v>
      </c>
      <c r="L77" s="129">
        <f t="shared" si="98"/>
        <v>4906.6497855077569</v>
      </c>
      <c r="M77" s="129">
        <f t="shared" si="98"/>
        <v>5234.1852975654992</v>
      </c>
      <c r="N77" s="129">
        <f t="shared" si="98"/>
        <v>5599.2874716471279</v>
      </c>
      <c r="O77" s="129">
        <f t="shared" si="98"/>
        <v>6006.6546228790385</v>
      </c>
      <c r="P77" s="129">
        <f t="shared" si="98"/>
        <v>6461.6790796490586</v>
      </c>
      <c r="Q77" s="129">
        <f t="shared" si="98"/>
        <v>6970.5582192857637</v>
      </c>
      <c r="R77" s="129">
        <f t="shared" si="98"/>
        <v>7540.4249914800266</v>
      </c>
      <c r="S77" s="129">
        <f t="shared" si="98"/>
        <v>8179.5015797432752</v>
      </c>
    </row>
    <row r="78" spans="2:19" x14ac:dyDescent="0.3">
      <c r="B78" t="s">
        <v>191</v>
      </c>
      <c r="E78" s="32">
        <f>SUM(BS!D68:D71)</f>
        <v>2462.7199999999998</v>
      </c>
      <c r="F78" s="32">
        <f>SUM(BS!E68:E71)</f>
        <v>3132.96</v>
      </c>
      <c r="G78" s="32">
        <f>SUM(BS!F68:F71)</f>
        <v>3344.9100000000003</v>
      </c>
      <c r="H78" s="32">
        <f>SUM(BS!G68:G71)</f>
        <v>3385.86</v>
      </c>
      <c r="I78" s="32">
        <f>SUM(BS!H68:H71)</f>
        <v>3899.17</v>
      </c>
      <c r="J78" s="129">
        <f>I78</f>
        <v>3899.17</v>
      </c>
      <c r="K78" s="129">
        <f t="shared" ref="K78:N78" si="99">J78</f>
        <v>3899.17</v>
      </c>
      <c r="L78" s="129">
        <f t="shared" si="99"/>
        <v>3899.17</v>
      </c>
      <c r="M78" s="129">
        <f t="shared" si="99"/>
        <v>3899.17</v>
      </c>
      <c r="N78" s="129">
        <f t="shared" si="99"/>
        <v>3899.17</v>
      </c>
      <c r="O78" s="129">
        <f t="shared" ref="O78" si="100">N78</f>
        <v>3899.17</v>
      </c>
      <c r="P78" s="129">
        <f t="shared" ref="P78" si="101">O78</f>
        <v>3899.17</v>
      </c>
      <c r="Q78" s="129">
        <f t="shared" ref="Q78" si="102">P78</f>
        <v>3899.17</v>
      </c>
      <c r="R78" s="129">
        <f t="shared" ref="R78" si="103">Q78</f>
        <v>3899.17</v>
      </c>
      <c r="S78" s="129">
        <f t="shared" ref="S78" si="104">R78</f>
        <v>3899.17</v>
      </c>
    </row>
    <row r="79" spans="2:19" x14ac:dyDescent="0.3">
      <c r="E79" s="32"/>
      <c r="F79" s="32"/>
      <c r="G79" s="32"/>
      <c r="H79" s="32"/>
      <c r="I79" s="32"/>
      <c r="J79" s="129"/>
      <c r="K79" s="129"/>
      <c r="L79" s="129"/>
      <c r="M79" s="129"/>
      <c r="N79" s="129"/>
      <c r="O79" s="129"/>
      <c r="P79" s="129"/>
      <c r="Q79" s="129"/>
      <c r="R79" s="129"/>
      <c r="S79" s="129"/>
    </row>
    <row r="80" spans="2:19" x14ac:dyDescent="0.3">
      <c r="B80" s="1" t="s">
        <v>192</v>
      </c>
      <c r="E80" s="32"/>
      <c r="F80" s="32"/>
      <c r="G80" s="32"/>
      <c r="H80" s="32"/>
      <c r="I80" s="32"/>
      <c r="J80" s="129"/>
      <c r="K80" s="129"/>
      <c r="L80" s="129"/>
      <c r="M80" s="129"/>
      <c r="N80" s="129"/>
      <c r="O80" s="129"/>
      <c r="P80" s="129"/>
      <c r="Q80" s="129"/>
      <c r="R80" s="129"/>
      <c r="S80" s="129"/>
    </row>
    <row r="81" spans="2:19" x14ac:dyDescent="0.3">
      <c r="B81" t="s">
        <v>193</v>
      </c>
      <c r="E81" s="32">
        <f>BS!D63+BS!D64+BS!D53+BS!D54</f>
        <v>1586.88</v>
      </c>
      <c r="F81" s="32">
        <f>BS!E63+BS!E64+BS!E53+BS!E54</f>
        <v>1932.6200000000001</v>
      </c>
      <c r="G81" s="32">
        <f>BS!F63+BS!F64+BS!F53+BS!F54</f>
        <v>2474.38</v>
      </c>
      <c r="H81" s="32">
        <f>BS!G63+BS!G64+BS!G53+BS!G54</f>
        <v>2290.29</v>
      </c>
      <c r="I81" s="32">
        <f>BS!H63+BS!H64+BS!H53+BS!H54</f>
        <v>3928.93</v>
      </c>
      <c r="J81" s="129">
        <f>J145</f>
        <v>3928.93</v>
      </c>
      <c r="K81" s="129">
        <f t="shared" ref="K81:N81" si="105">K145</f>
        <v>3928.93</v>
      </c>
      <c r="L81" s="129">
        <f t="shared" si="105"/>
        <v>3928.93</v>
      </c>
      <c r="M81" s="129">
        <f t="shared" si="105"/>
        <v>3928.93</v>
      </c>
      <c r="N81" s="129">
        <f t="shared" si="105"/>
        <v>3928.93</v>
      </c>
      <c r="O81" s="129">
        <f t="shared" ref="O81:S81" si="106">O145</f>
        <v>3928.93</v>
      </c>
      <c r="P81" s="129">
        <f t="shared" si="106"/>
        <v>3928.93</v>
      </c>
      <c r="Q81" s="129">
        <f t="shared" si="106"/>
        <v>3928.93</v>
      </c>
      <c r="R81" s="129">
        <f t="shared" si="106"/>
        <v>3928.93</v>
      </c>
      <c r="S81" s="129">
        <f t="shared" si="106"/>
        <v>3928.93</v>
      </c>
    </row>
    <row r="82" spans="2:19" x14ac:dyDescent="0.3">
      <c r="B82" t="s">
        <v>194</v>
      </c>
      <c r="E82" s="32">
        <f>SUM(BS!D55:D58)</f>
        <v>571.46</v>
      </c>
      <c r="F82" s="32">
        <f>SUM(BS!E55:E58)</f>
        <v>651.08999999999992</v>
      </c>
      <c r="G82" s="32">
        <f>SUM(BS!F55:F58)</f>
        <v>849.78</v>
      </c>
      <c r="H82" s="32">
        <f>SUM(BS!G55:G58)</f>
        <v>788.17</v>
      </c>
      <c r="I82" s="32">
        <f>SUM(BS!H55:H58)</f>
        <v>828.37</v>
      </c>
      <c r="J82" s="129">
        <f>I82</f>
        <v>828.37</v>
      </c>
      <c r="K82" s="129">
        <f t="shared" ref="K82:N82" si="107">J82</f>
        <v>828.37</v>
      </c>
      <c r="L82" s="129">
        <f t="shared" si="107"/>
        <v>828.37</v>
      </c>
      <c r="M82" s="129">
        <f t="shared" si="107"/>
        <v>828.37</v>
      </c>
      <c r="N82" s="129">
        <f t="shared" si="107"/>
        <v>828.37</v>
      </c>
      <c r="O82" s="129">
        <f t="shared" ref="O82" si="108">N82</f>
        <v>828.37</v>
      </c>
      <c r="P82" s="129">
        <f t="shared" ref="P82" si="109">O82</f>
        <v>828.37</v>
      </c>
      <c r="Q82" s="129">
        <f t="shared" ref="Q82" si="110">P82</f>
        <v>828.37</v>
      </c>
      <c r="R82" s="129">
        <f t="shared" ref="R82" si="111">Q82</f>
        <v>828.37</v>
      </c>
      <c r="S82" s="129">
        <f t="shared" ref="S82" si="112">R82</f>
        <v>828.37</v>
      </c>
    </row>
    <row r="83" spans="2:19" x14ac:dyDescent="0.3">
      <c r="J83" s="88"/>
      <c r="K83" s="88"/>
      <c r="L83" s="88"/>
      <c r="M83" s="88"/>
      <c r="N83" s="88"/>
      <c r="O83" s="88"/>
      <c r="P83" s="88"/>
      <c r="Q83" s="88"/>
      <c r="R83" s="88"/>
      <c r="S83" s="88"/>
    </row>
    <row r="84" spans="2:19" x14ac:dyDescent="0.3">
      <c r="B84" s="10" t="s">
        <v>195</v>
      </c>
      <c r="C84" s="13"/>
      <c r="D84" s="13"/>
      <c r="E84" s="11">
        <f>SUM(E77:E82)</f>
        <v>8785.36</v>
      </c>
      <c r="F84" s="11">
        <f t="shared" ref="F84:J84" si="113">SUM(F77:F82)</f>
        <v>9352.11</v>
      </c>
      <c r="G84" s="11">
        <f t="shared" si="113"/>
        <v>10500.410000000002</v>
      </c>
      <c r="H84" s="11">
        <f t="shared" si="113"/>
        <v>10312.320000000002</v>
      </c>
      <c r="I84" s="11">
        <f t="shared" si="113"/>
        <v>12519.51</v>
      </c>
      <c r="J84" s="132">
        <f t="shared" si="113"/>
        <v>13004.871878912358</v>
      </c>
      <c r="K84" s="132">
        <f t="shared" ref="K84:N84" si="114">SUM(K77:K82)</f>
        <v>13269.0520388643</v>
      </c>
      <c r="L84" s="132">
        <f t="shared" si="114"/>
        <v>13563.119785507757</v>
      </c>
      <c r="M84" s="132">
        <f t="shared" si="114"/>
        <v>13890.655297565501</v>
      </c>
      <c r="N84" s="132">
        <f t="shared" si="114"/>
        <v>14255.75747164713</v>
      </c>
      <c r="O84" s="132">
        <f t="shared" ref="O84:S84" si="115">SUM(O77:O82)</f>
        <v>14663.124622879039</v>
      </c>
      <c r="P84" s="132">
        <f t="shared" si="115"/>
        <v>15118.14907964906</v>
      </c>
      <c r="Q84" s="132">
        <f t="shared" si="115"/>
        <v>15627.028219285765</v>
      </c>
      <c r="R84" s="132">
        <f t="shared" si="115"/>
        <v>16196.894991480027</v>
      </c>
      <c r="S84" s="132">
        <f t="shared" si="115"/>
        <v>16835.971579743276</v>
      </c>
    </row>
    <row r="85" spans="2:19" x14ac:dyDescent="0.3">
      <c r="J85" s="88"/>
      <c r="K85" s="88"/>
      <c r="L85" s="88"/>
      <c r="M85" s="88"/>
      <c r="N85" s="88"/>
      <c r="O85" s="88"/>
      <c r="P85" s="88"/>
      <c r="Q85" s="88"/>
      <c r="R85" s="88"/>
      <c r="S85" s="88"/>
    </row>
    <row r="86" spans="2:19" x14ac:dyDescent="0.3">
      <c r="B86" s="1" t="s">
        <v>196</v>
      </c>
      <c r="J86" s="88"/>
      <c r="K86" s="88"/>
      <c r="L86" s="88"/>
      <c r="M86" s="88"/>
      <c r="N86" s="88"/>
      <c r="O86" s="88"/>
      <c r="P86" s="88"/>
      <c r="Q86" s="88"/>
      <c r="R86" s="88"/>
      <c r="S86" s="88"/>
    </row>
    <row r="87" spans="2:19" x14ac:dyDescent="0.3">
      <c r="B87" t="s">
        <v>29</v>
      </c>
      <c r="E87" s="32">
        <f>BS!D44</f>
        <v>95.92</v>
      </c>
      <c r="F87" s="32">
        <f>BS!E44</f>
        <v>95.92</v>
      </c>
      <c r="G87" s="32">
        <f>BS!F44</f>
        <v>95.92</v>
      </c>
      <c r="H87" s="32">
        <f>BS!G44</f>
        <v>95.92</v>
      </c>
      <c r="I87" s="32">
        <f>BS!H44</f>
        <v>95.92</v>
      </c>
      <c r="J87" s="129">
        <f>I87</f>
        <v>95.92</v>
      </c>
      <c r="K87" s="129">
        <f t="shared" ref="K87:N87" si="116">J87</f>
        <v>95.92</v>
      </c>
      <c r="L87" s="129">
        <f t="shared" si="116"/>
        <v>95.92</v>
      </c>
      <c r="M87" s="129">
        <f t="shared" si="116"/>
        <v>95.92</v>
      </c>
      <c r="N87" s="129">
        <f t="shared" si="116"/>
        <v>95.92</v>
      </c>
      <c r="O87" s="129">
        <f t="shared" ref="O87" si="117">N87</f>
        <v>95.92</v>
      </c>
      <c r="P87" s="129">
        <f t="shared" ref="P87" si="118">O87</f>
        <v>95.92</v>
      </c>
      <c r="Q87" s="129">
        <f t="shared" ref="Q87" si="119">P87</f>
        <v>95.92</v>
      </c>
      <c r="R87" s="129">
        <f t="shared" ref="R87" si="120">Q87</f>
        <v>95.92</v>
      </c>
      <c r="S87" s="129">
        <f t="shared" ref="S87" si="121">R87</f>
        <v>95.92</v>
      </c>
    </row>
    <row r="88" spans="2:19" x14ac:dyDescent="0.3">
      <c r="B88" t="s">
        <v>197</v>
      </c>
      <c r="E88" s="32">
        <f>BS!D45</f>
        <v>13715.64</v>
      </c>
      <c r="F88" s="32">
        <f>BS!E45</f>
        <v>15896.31</v>
      </c>
      <c r="G88" s="32">
        <f>BS!F45</f>
        <v>18632.38</v>
      </c>
      <c r="H88" s="32">
        <f>BS!G45</f>
        <v>19303.89</v>
      </c>
      <c r="I88" s="32">
        <f>BS!H45</f>
        <v>21275.67</v>
      </c>
      <c r="J88" s="129">
        <f t="shared" ref="J88:S88" si="122">I88+J53+J118+J116</f>
        <v>23183.980089811252</v>
      </c>
      <c r="K88" s="129">
        <f t="shared" si="122"/>
        <v>25257.076099002075</v>
      </c>
      <c r="L88" s="129">
        <f t="shared" si="122"/>
        <v>27505.378343541863</v>
      </c>
      <c r="M88" s="129">
        <f t="shared" si="122"/>
        <v>29941.17070124677</v>
      </c>
      <c r="N88" s="129">
        <f t="shared" si="122"/>
        <v>32578.682003818201</v>
      </c>
      <c r="O88" s="129">
        <f t="shared" si="122"/>
        <v>35434.163032017081</v>
      </c>
      <c r="P88" s="129">
        <f t="shared" si="122"/>
        <v>38525.941816738334</v>
      </c>
      <c r="Q88" s="129">
        <f t="shared" si="122"/>
        <v>41874.427915249675</v>
      </c>
      <c r="R88" s="129">
        <f t="shared" si="122"/>
        <v>45502.015136053386</v>
      </c>
      <c r="S88" s="129">
        <f t="shared" si="122"/>
        <v>49432.793661636155</v>
      </c>
    </row>
    <row r="89" spans="2:19" x14ac:dyDescent="0.3">
      <c r="B89" s="5" t="s">
        <v>198</v>
      </c>
      <c r="C89" s="6"/>
      <c r="D89" s="6"/>
      <c r="E89" s="7">
        <f>SUM(E87:E88)</f>
        <v>13811.56</v>
      </c>
      <c r="F89" s="7">
        <f t="shared" ref="F89:J89" si="123">SUM(F87:F88)</f>
        <v>15992.23</v>
      </c>
      <c r="G89" s="7">
        <f t="shared" si="123"/>
        <v>18728.3</v>
      </c>
      <c r="H89" s="7">
        <f t="shared" si="123"/>
        <v>19399.809999999998</v>
      </c>
      <c r="I89" s="7">
        <f t="shared" si="123"/>
        <v>21371.589999999997</v>
      </c>
      <c r="J89" s="130">
        <f t="shared" si="123"/>
        <v>23279.90008981125</v>
      </c>
      <c r="K89" s="130">
        <f t="shared" ref="K89:N89" si="124">SUM(K87:K88)</f>
        <v>25352.996099002074</v>
      </c>
      <c r="L89" s="130">
        <f t="shared" si="124"/>
        <v>27601.298343541861</v>
      </c>
      <c r="M89" s="130">
        <f t="shared" si="124"/>
        <v>30037.090701246769</v>
      </c>
      <c r="N89" s="130">
        <f t="shared" si="124"/>
        <v>32674.6020038182</v>
      </c>
      <c r="O89" s="130">
        <f t="shared" ref="O89:S89" si="125">SUM(O87:O88)</f>
        <v>35530.083032017079</v>
      </c>
      <c r="P89" s="130">
        <f t="shared" si="125"/>
        <v>38621.861816738332</v>
      </c>
      <c r="Q89" s="130">
        <f t="shared" si="125"/>
        <v>41970.347915249673</v>
      </c>
      <c r="R89" s="130">
        <f t="shared" si="125"/>
        <v>45597.935136053384</v>
      </c>
      <c r="S89" s="130">
        <f t="shared" si="125"/>
        <v>49528.713661636153</v>
      </c>
    </row>
    <row r="90" spans="2:19" x14ac:dyDescent="0.3">
      <c r="B90" t="s">
        <v>199</v>
      </c>
      <c r="E90" s="32">
        <f>BS!D47</f>
        <v>387.53</v>
      </c>
      <c r="F90" s="32">
        <f>BS!E47</f>
        <v>453.66</v>
      </c>
      <c r="G90" s="32">
        <f>BS!F47</f>
        <v>695.38</v>
      </c>
      <c r="H90" s="32">
        <f>BS!G47</f>
        <v>659.24</v>
      </c>
      <c r="I90" s="32">
        <f>BS!H47</f>
        <v>643.39</v>
      </c>
      <c r="J90" s="129">
        <f>I90</f>
        <v>643.39</v>
      </c>
      <c r="K90" s="129">
        <f t="shared" ref="K90:N90" si="126">J90</f>
        <v>643.39</v>
      </c>
      <c r="L90" s="129">
        <f t="shared" si="126"/>
        <v>643.39</v>
      </c>
      <c r="M90" s="129">
        <f t="shared" si="126"/>
        <v>643.39</v>
      </c>
      <c r="N90" s="129">
        <f t="shared" si="126"/>
        <v>643.39</v>
      </c>
      <c r="O90" s="129">
        <f t="shared" ref="O90" si="127">N90</f>
        <v>643.39</v>
      </c>
      <c r="P90" s="129">
        <f t="shared" ref="P90" si="128">O90</f>
        <v>643.39</v>
      </c>
      <c r="Q90" s="129">
        <f t="shared" ref="Q90" si="129">P90</f>
        <v>643.39</v>
      </c>
      <c r="R90" s="129">
        <f t="shared" ref="R90" si="130">Q90</f>
        <v>643.39</v>
      </c>
      <c r="S90" s="129">
        <f t="shared" ref="S90" si="131">R90</f>
        <v>643.39</v>
      </c>
    </row>
    <row r="91" spans="2:19" x14ac:dyDescent="0.3">
      <c r="J91" s="88"/>
      <c r="K91" s="88"/>
      <c r="L91" s="88"/>
      <c r="M91" s="88"/>
      <c r="N91" s="88"/>
      <c r="O91" s="88"/>
      <c r="P91" s="88"/>
      <c r="Q91" s="88"/>
      <c r="R91" s="88"/>
      <c r="S91" s="88"/>
    </row>
    <row r="92" spans="2:19" x14ac:dyDescent="0.3">
      <c r="B92" s="10" t="s">
        <v>200</v>
      </c>
      <c r="C92" s="13"/>
      <c r="D92" s="13"/>
      <c r="E92" s="11">
        <f t="shared" ref="E92:N92" si="132">E84+E89+E90</f>
        <v>22984.449999999997</v>
      </c>
      <c r="F92" s="11">
        <f t="shared" si="132"/>
        <v>25798</v>
      </c>
      <c r="G92" s="11">
        <f t="shared" si="132"/>
        <v>29924.09</v>
      </c>
      <c r="H92" s="11">
        <f t="shared" si="132"/>
        <v>30371.37</v>
      </c>
      <c r="I92" s="11">
        <f t="shared" si="132"/>
        <v>34534.49</v>
      </c>
      <c r="J92" s="132">
        <f t="shared" si="132"/>
        <v>36928.161968723609</v>
      </c>
      <c r="K92" s="132">
        <f t="shared" si="132"/>
        <v>39265.438137866375</v>
      </c>
      <c r="L92" s="132">
        <f t="shared" si="132"/>
        <v>41807.808129049619</v>
      </c>
      <c r="M92" s="132">
        <f t="shared" si="132"/>
        <v>44571.135998812271</v>
      </c>
      <c r="N92" s="132">
        <f t="shared" si="132"/>
        <v>47573.749475465331</v>
      </c>
      <c r="O92" s="132">
        <f t="shared" ref="O92:S92" si="133">O84+O89+O90</f>
        <v>50836.597654896119</v>
      </c>
      <c r="P92" s="132">
        <f t="shared" si="133"/>
        <v>54383.400896387393</v>
      </c>
      <c r="Q92" s="132">
        <f t="shared" si="133"/>
        <v>58240.766134535435</v>
      </c>
      <c r="R92" s="132">
        <f t="shared" si="133"/>
        <v>62438.220127533408</v>
      </c>
      <c r="S92" s="132">
        <f t="shared" si="133"/>
        <v>67008.075241379425</v>
      </c>
    </row>
    <row r="93" spans="2:19" x14ac:dyDescent="0.3">
      <c r="J93" s="88"/>
      <c r="K93" s="88"/>
      <c r="L93" s="88"/>
      <c r="M93" s="88"/>
      <c r="N93" s="88"/>
      <c r="O93" s="88"/>
      <c r="P93" s="88"/>
      <c r="Q93" s="88"/>
      <c r="R93" s="88"/>
      <c r="S93" s="88"/>
    </row>
    <row r="94" spans="2:19" x14ac:dyDescent="0.3">
      <c r="B94" t="s">
        <v>201</v>
      </c>
      <c r="E94">
        <f t="shared" ref="E94:N94" si="134">E73-E92</f>
        <v>0</v>
      </c>
      <c r="F94">
        <f t="shared" si="134"/>
        <v>0</v>
      </c>
      <c r="G94">
        <f t="shared" si="134"/>
        <v>0</v>
      </c>
      <c r="H94">
        <f t="shared" si="134"/>
        <v>0</v>
      </c>
      <c r="I94">
        <f t="shared" si="134"/>
        <v>0</v>
      </c>
      <c r="J94" s="121">
        <f t="shared" si="134"/>
        <v>0</v>
      </c>
      <c r="K94" s="121">
        <f t="shared" si="134"/>
        <v>0</v>
      </c>
      <c r="L94" s="121">
        <f t="shared" si="134"/>
        <v>0</v>
      </c>
      <c r="M94" s="121">
        <f t="shared" si="134"/>
        <v>0</v>
      </c>
      <c r="N94" s="121">
        <f t="shared" si="134"/>
        <v>0</v>
      </c>
      <c r="O94" s="121">
        <f t="shared" ref="O94:S94" si="135">O73-O92</f>
        <v>0</v>
      </c>
      <c r="P94" s="121">
        <f t="shared" si="135"/>
        <v>0</v>
      </c>
      <c r="Q94" s="121">
        <f t="shared" si="135"/>
        <v>0</v>
      </c>
      <c r="R94" s="121">
        <f t="shared" si="135"/>
        <v>0</v>
      </c>
      <c r="S94" s="121">
        <f t="shared" si="135"/>
        <v>0</v>
      </c>
    </row>
    <row r="96" spans="2:19" ht="18" x14ac:dyDescent="0.35">
      <c r="B96" s="20" t="s">
        <v>203</v>
      </c>
      <c r="C96" s="3"/>
      <c r="D96" s="3"/>
      <c r="E96" s="3"/>
      <c r="F96" s="3"/>
      <c r="G96" s="3"/>
      <c r="H96" s="3"/>
      <c r="I96" s="3"/>
      <c r="J96" s="3"/>
      <c r="K96" s="3"/>
      <c r="L96" s="3"/>
      <c r="M96" s="3"/>
      <c r="N96" s="3"/>
      <c r="O96" s="3"/>
      <c r="P96" s="3"/>
      <c r="Q96" s="3"/>
      <c r="R96" s="3"/>
      <c r="S96" s="3"/>
    </row>
    <row r="98" spans="2:19" x14ac:dyDescent="0.3">
      <c r="B98" s="1" t="s">
        <v>204</v>
      </c>
      <c r="E98" s="29"/>
      <c r="F98" s="29"/>
      <c r="G98" s="29"/>
      <c r="H98" s="29"/>
      <c r="I98" s="29"/>
      <c r="J98" s="29"/>
      <c r="K98" s="29"/>
      <c r="L98" s="29"/>
      <c r="M98" s="29"/>
      <c r="N98" s="29"/>
      <c r="O98" s="29"/>
      <c r="P98" s="29"/>
      <c r="Q98" s="29"/>
      <c r="R98" s="29"/>
      <c r="S98" s="29"/>
    </row>
    <row r="99" spans="2:19" x14ac:dyDescent="0.3">
      <c r="B99" t="s">
        <v>171</v>
      </c>
      <c r="E99" s="30">
        <f>CF!D10+CF!D45</f>
        <v>3012.03</v>
      </c>
      <c r="F99" s="30">
        <f>CF!E10+CF!E45</f>
        <v>4194.55</v>
      </c>
      <c r="G99" s="30">
        <f>CF!F10+CF!F45</f>
        <v>5512.72</v>
      </c>
      <c r="H99" s="30">
        <f>CF!G10+CF!G45</f>
        <v>3707.5499999999997</v>
      </c>
      <c r="I99" s="30">
        <f>CF!H10+CF!H45</f>
        <v>4429.62</v>
      </c>
      <c r="J99" s="133">
        <f t="shared" ref="J99:S99" si="136">J53</f>
        <v>4522.6564577899817</v>
      </c>
      <c r="K99" s="133">
        <f t="shared" si="136"/>
        <v>4913.1957660575372</v>
      </c>
      <c r="L99" s="133">
        <f t="shared" si="136"/>
        <v>5328.4310131889033</v>
      </c>
      <c r="M99" s="133">
        <f t="shared" si="136"/>
        <v>5772.7788032076041</v>
      </c>
      <c r="N99" s="133">
        <f t="shared" si="136"/>
        <v>6250.8486376281598</v>
      </c>
      <c r="O99" s="133">
        <f t="shared" si="136"/>
        <v>6767.4324949766269</v>
      </c>
      <c r="P99" s="133">
        <f t="shared" si="136"/>
        <v>7327.4534162111313</v>
      </c>
      <c r="Q99" s="133">
        <f t="shared" si="136"/>
        <v>7935.8445768895654</v>
      </c>
      <c r="R99" s="133">
        <f t="shared" si="136"/>
        <v>8597.3086124525234</v>
      </c>
      <c r="S99" s="133">
        <f t="shared" si="136"/>
        <v>9315.8658950587214</v>
      </c>
    </row>
    <row r="100" spans="2:19" x14ac:dyDescent="0.3">
      <c r="B100" t="s">
        <v>205</v>
      </c>
      <c r="E100" s="30">
        <f>CF!D12</f>
        <v>816.36</v>
      </c>
      <c r="F100" s="30">
        <f>CF!E12</f>
        <v>858.02</v>
      </c>
      <c r="G100" s="30">
        <f>CF!F12</f>
        <v>853</v>
      </c>
      <c r="H100" s="30">
        <f>CF!G12</f>
        <v>1026.3399999999999</v>
      </c>
      <c r="I100" s="30">
        <f>CF!H12</f>
        <v>1228.8499999999999</v>
      </c>
      <c r="J100" s="133">
        <f>-J139</f>
        <v>1118.61592087283</v>
      </c>
      <c r="K100" s="133">
        <f t="shared" ref="K100:L100" si="137">-K139</f>
        <v>1057.1215127328662</v>
      </c>
      <c r="L100" s="133">
        <f t="shared" si="137"/>
        <v>1015.0791372087493</v>
      </c>
      <c r="M100" s="133">
        <f>-M139</f>
        <v>992.84258215285433</v>
      </c>
      <c r="N100" s="133">
        <f>-N139</f>
        <v>991.42268263781648</v>
      </c>
      <c r="O100" s="133">
        <f t="shared" ref="O100:S100" si="138">-O139</f>
        <v>1012.6443348702212</v>
      </c>
      <c r="P100" s="133">
        <f t="shared" si="138"/>
        <v>1059.3836672567666</v>
      </c>
      <c r="Q100" s="133">
        <f t="shared" si="138"/>
        <v>1135.9285275908815</v>
      </c>
      <c r="R100" s="133">
        <f t="shared" si="138"/>
        <v>1248.5357583211271</v>
      </c>
      <c r="S100" s="133">
        <f t="shared" si="138"/>
        <v>1406.3154561202434</v>
      </c>
    </row>
    <row r="101" spans="2:19" x14ac:dyDescent="0.3">
      <c r="B101" t="s">
        <v>206</v>
      </c>
      <c r="E101" s="30">
        <f>CF!D31-CF!D12</f>
        <v>-46.67999999999995</v>
      </c>
      <c r="F101" s="30">
        <f>CF!E31-CF!E12</f>
        <v>-87.029999999999859</v>
      </c>
      <c r="G101" s="30">
        <f>CF!F31-CF!F12</f>
        <v>-272.16999999999985</v>
      </c>
      <c r="H101" s="30">
        <f>CF!G31-CF!G12</f>
        <v>260.25</v>
      </c>
      <c r="I101" s="30">
        <f>CF!H31-CF!H12</f>
        <v>-46.009999999999536</v>
      </c>
      <c r="J101" s="133">
        <f t="shared" ref="J101:S101" si="139">-J43-J44</f>
        <v>-314.72085033521432</v>
      </c>
      <c r="K101" s="133">
        <f t="shared" si="139"/>
        <v>-351.70800052993411</v>
      </c>
      <c r="L101" s="133">
        <f t="shared" si="139"/>
        <v>-392.87963096010299</v>
      </c>
      <c r="M101" s="133">
        <f t="shared" si="139"/>
        <v>-438.7369927725415</v>
      </c>
      <c r="N101" s="133">
        <f t="shared" si="139"/>
        <v>-489.85396140346529</v>
      </c>
      <c r="O101" s="133">
        <f t="shared" si="139"/>
        <v>-546.88833525557698</v>
      </c>
      <c r="P101" s="133">
        <f t="shared" si="139"/>
        <v>-610.59507965260138</v>
      </c>
      <c r="Q101" s="133">
        <f t="shared" si="139"/>
        <v>-681.84187264465061</v>
      </c>
      <c r="R101" s="133">
        <f t="shared" si="139"/>
        <v>-761.62737923970894</v>
      </c>
      <c r="S101" s="133">
        <f t="shared" si="139"/>
        <v>-851.10276512910241</v>
      </c>
    </row>
    <row r="102" spans="2:19" x14ac:dyDescent="0.3">
      <c r="B102" t="s">
        <v>207</v>
      </c>
      <c r="E102" s="29">
        <f>E134</f>
        <v>-2795.2200000000003</v>
      </c>
      <c r="F102" s="29">
        <f t="shared" ref="F102:I102" si="140">F134</f>
        <v>-772.11000000000013</v>
      </c>
      <c r="G102" s="29">
        <f t="shared" si="140"/>
        <v>10.050000000000011</v>
      </c>
      <c r="H102" s="29">
        <f t="shared" si="140"/>
        <v>-570.17999999999995</v>
      </c>
      <c r="I102" s="29">
        <f t="shared" si="140"/>
        <v>1475.7200000000003</v>
      </c>
      <c r="J102" s="134">
        <f>J134</f>
        <v>-1162.0394763331087</v>
      </c>
      <c r="K102" s="134">
        <f t="shared" ref="K102:N102" si="141">K134</f>
        <v>-456.24882223832901</v>
      </c>
      <c r="L102" s="134">
        <f t="shared" si="141"/>
        <v>-507.86578026435654</v>
      </c>
      <c r="M102" s="134">
        <f t="shared" si="141"/>
        <v>-565.66583820964115</v>
      </c>
      <c r="N102" s="134">
        <f t="shared" si="141"/>
        <v>-630.54484088319987</v>
      </c>
      <c r="O102" s="134">
        <f t="shared" ref="O102:S102" si="142">O134</f>
        <v>-703.53800604084699</v>
      </c>
      <c r="P102" s="134">
        <f t="shared" si="142"/>
        <v>-785.84392003064022</v>
      </c>
      <c r="Q102" s="134">
        <f t="shared" si="142"/>
        <v>-878.85293188987271</v>
      </c>
      <c r="R102" s="134">
        <f t="shared" si="142"/>
        <v>-984.18080939040738</v>
      </c>
      <c r="S102" s="134">
        <f t="shared" si="142"/>
        <v>-1103.7086992764189</v>
      </c>
    </row>
    <row r="103" spans="2:19" x14ac:dyDescent="0.3">
      <c r="E103" s="29"/>
      <c r="F103" s="29"/>
      <c r="G103" s="29"/>
      <c r="H103" s="29"/>
      <c r="I103" s="29"/>
      <c r="J103" s="89"/>
      <c r="K103" s="89"/>
      <c r="L103" s="89"/>
      <c r="M103" s="89"/>
      <c r="N103" s="89"/>
      <c r="O103" s="89"/>
      <c r="P103" s="89"/>
      <c r="Q103" s="89"/>
      <c r="R103" s="89"/>
      <c r="S103" s="89"/>
    </row>
    <row r="104" spans="2:19" x14ac:dyDescent="0.3">
      <c r="B104" s="10" t="s">
        <v>208</v>
      </c>
      <c r="C104" s="10"/>
      <c r="D104" s="10"/>
      <c r="E104" s="35">
        <f>SUM(E99:E102)</f>
        <v>986.49000000000024</v>
      </c>
      <c r="F104" s="35">
        <f t="shared" ref="F104:J104" si="143">SUM(F99:F102)</f>
        <v>4193.43</v>
      </c>
      <c r="G104" s="35">
        <f t="shared" si="143"/>
        <v>6103.6</v>
      </c>
      <c r="H104" s="35">
        <f t="shared" si="143"/>
        <v>4423.9599999999991</v>
      </c>
      <c r="I104" s="35">
        <f t="shared" si="143"/>
        <v>7088.18</v>
      </c>
      <c r="J104" s="135">
        <f t="shared" si="143"/>
        <v>4164.5120519944894</v>
      </c>
      <c r="K104" s="135">
        <f t="shared" ref="K104:N104" si="144">SUM(K99:K102)</f>
        <v>5162.3604560221402</v>
      </c>
      <c r="L104" s="135">
        <f t="shared" si="144"/>
        <v>5442.7647391731934</v>
      </c>
      <c r="M104" s="135">
        <f t="shared" si="144"/>
        <v>5761.2185543782762</v>
      </c>
      <c r="N104" s="135">
        <f t="shared" si="144"/>
        <v>6121.8725179793109</v>
      </c>
      <c r="O104" s="135">
        <f t="shared" ref="O104:S104" si="145">SUM(O99:O102)</f>
        <v>6529.6504885504246</v>
      </c>
      <c r="P104" s="135">
        <f t="shared" si="145"/>
        <v>6990.3980837846557</v>
      </c>
      <c r="Q104" s="135">
        <f t="shared" si="145"/>
        <v>7511.0782999459225</v>
      </c>
      <c r="R104" s="135">
        <f t="shared" si="145"/>
        <v>8100.0361821435345</v>
      </c>
      <c r="S104" s="135">
        <f t="shared" si="145"/>
        <v>8767.369886773442</v>
      </c>
    </row>
    <row r="105" spans="2:19" x14ac:dyDescent="0.3">
      <c r="J105" s="88"/>
      <c r="K105" s="88"/>
      <c r="L105" s="88"/>
      <c r="M105" s="88"/>
      <c r="N105" s="88"/>
      <c r="O105" s="88"/>
      <c r="P105" s="88"/>
      <c r="Q105" s="88"/>
      <c r="R105" s="88"/>
      <c r="S105" s="88"/>
    </row>
    <row r="106" spans="2:19" x14ac:dyDescent="0.3">
      <c r="B106" s="1" t="s">
        <v>210</v>
      </c>
      <c r="E106" s="29"/>
      <c r="F106" s="29"/>
      <c r="G106" s="29"/>
      <c r="H106" s="29"/>
      <c r="I106" s="29"/>
      <c r="J106" s="89"/>
      <c r="K106" s="89"/>
      <c r="L106" s="89"/>
      <c r="M106" s="89"/>
      <c r="N106" s="89"/>
      <c r="O106" s="89"/>
      <c r="P106" s="89"/>
      <c r="Q106" s="89"/>
      <c r="R106" s="89"/>
      <c r="S106" s="89"/>
    </row>
    <row r="107" spans="2:19" x14ac:dyDescent="0.3">
      <c r="B107" t="s">
        <v>211</v>
      </c>
      <c r="E107" s="30">
        <f>CF!D49</f>
        <v>-538.24</v>
      </c>
      <c r="F107" s="30">
        <f>CF!E49</f>
        <v>-1273.3699999999999</v>
      </c>
      <c r="G107" s="30">
        <f>CF!F49</f>
        <v>-2199.0100000000002</v>
      </c>
      <c r="H107" s="30">
        <f>CF!G49</f>
        <v>-1805.32</v>
      </c>
      <c r="I107" s="30">
        <f>CF!H49</f>
        <v>-1467.02</v>
      </c>
      <c r="J107" s="89">
        <f>-J138</f>
        <v>-588.65447312143067</v>
      </c>
      <c r="K107" s="89">
        <f t="shared" ref="K107:N107" si="146">-K138</f>
        <v>-694.79851664911087</v>
      </c>
      <c r="L107" s="89">
        <f t="shared" si="146"/>
        <v>-823.44355168357799</v>
      </c>
      <c r="M107" s="89">
        <f t="shared" si="146"/>
        <v>-980.60582721184755</v>
      </c>
      <c r="N107" s="89">
        <f t="shared" si="146"/>
        <v>-1174.3117920860125</v>
      </c>
      <c r="O107" s="89">
        <f t="shared" ref="O107:S107" si="147">-O138</f>
        <v>-1415.4459067160685</v>
      </c>
      <c r="P107" s="89">
        <f t="shared" si="147"/>
        <v>-1719.0505577530018</v>
      </c>
      <c r="Q107" s="89">
        <f t="shared" si="147"/>
        <v>-2106.3824734073587</v>
      </c>
      <c r="R107" s="89">
        <f t="shared" si="147"/>
        <v>-2608.287963449794</v>
      </c>
      <c r="S107" s="89">
        <f t="shared" si="147"/>
        <v>-3270.9918593132638</v>
      </c>
    </row>
    <row r="108" spans="2:19" x14ac:dyDescent="0.3">
      <c r="B108" t="s">
        <v>212</v>
      </c>
      <c r="E108" s="30">
        <f>SUM(CF!D50:D58)</f>
        <v>124.40000000000002</v>
      </c>
      <c r="F108" s="30">
        <f>SUM(CF!E50:E58)</f>
        <v>-144.67999999999995</v>
      </c>
      <c r="G108" s="30">
        <f>SUM(CF!F50:F58)</f>
        <v>-582.65000000000009</v>
      </c>
      <c r="H108" s="30">
        <f>SUM(CF!G50:G58)</f>
        <v>640.16999999999996</v>
      </c>
      <c r="I108" s="30">
        <f>SUM(CF!H50:H58)</f>
        <v>-137.86999999999992</v>
      </c>
      <c r="J108" s="89">
        <f t="shared" ref="J108:S108" si="148">I70-J70</f>
        <v>0</v>
      </c>
      <c r="K108" s="89">
        <f t="shared" si="148"/>
        <v>0</v>
      </c>
      <c r="L108" s="89">
        <f t="shared" si="148"/>
        <v>0</v>
      </c>
      <c r="M108" s="89">
        <f t="shared" si="148"/>
        <v>0</v>
      </c>
      <c r="N108" s="89">
        <f t="shared" si="148"/>
        <v>0</v>
      </c>
      <c r="O108" s="89">
        <f t="shared" si="148"/>
        <v>0</v>
      </c>
      <c r="P108" s="89">
        <f t="shared" si="148"/>
        <v>0</v>
      </c>
      <c r="Q108" s="89">
        <f t="shared" si="148"/>
        <v>0</v>
      </c>
      <c r="R108" s="89">
        <f t="shared" si="148"/>
        <v>0</v>
      </c>
      <c r="S108" s="89">
        <f t="shared" si="148"/>
        <v>0</v>
      </c>
    </row>
    <row r="109" spans="2:19" x14ac:dyDescent="0.3">
      <c r="B109" t="s">
        <v>138</v>
      </c>
      <c r="E109" s="30">
        <f>CF!D59</f>
        <v>76.989999999999995</v>
      </c>
      <c r="F109" s="30">
        <f>CF!E59</f>
        <v>87.15</v>
      </c>
      <c r="G109" s="30">
        <f>CF!F59</f>
        <v>135.49</v>
      </c>
      <c r="H109" s="30">
        <f>CF!G59</f>
        <v>154.88999999999999</v>
      </c>
      <c r="I109" s="30">
        <f>CF!H59</f>
        <v>153.19</v>
      </c>
      <c r="J109" s="89">
        <f t="shared" ref="J109:S109" si="149">J44</f>
        <v>608.80799463362439</v>
      </c>
      <c r="K109" s="89">
        <f t="shared" si="149"/>
        <v>645.79514482834418</v>
      </c>
      <c r="L109" s="89">
        <f t="shared" si="149"/>
        <v>686.96677525851305</v>
      </c>
      <c r="M109" s="89">
        <f t="shared" si="149"/>
        <v>732.82413707095156</v>
      </c>
      <c r="N109" s="89">
        <f t="shared" si="149"/>
        <v>783.94110570187536</v>
      </c>
      <c r="O109" s="89">
        <f t="shared" si="149"/>
        <v>840.97547955398704</v>
      </c>
      <c r="P109" s="89">
        <f t="shared" si="149"/>
        <v>904.68222395101145</v>
      </c>
      <c r="Q109" s="89">
        <f t="shared" si="149"/>
        <v>975.92901694306067</v>
      </c>
      <c r="R109" s="89">
        <f t="shared" si="149"/>
        <v>1055.714523538119</v>
      </c>
      <c r="S109" s="89">
        <f t="shared" si="149"/>
        <v>1145.1899094275125</v>
      </c>
    </row>
    <row r="110" spans="2:19" x14ac:dyDescent="0.3">
      <c r="B110" t="s">
        <v>213</v>
      </c>
      <c r="E110" s="30">
        <f>SUM(CF!D60:D61)</f>
        <v>15.16</v>
      </c>
      <c r="F110" s="30">
        <f>SUM(CF!E60:E61)</f>
        <v>56.260000000000005</v>
      </c>
      <c r="G110" s="30">
        <f>SUM(CF!F60:F61)</f>
        <v>128.54000000000002</v>
      </c>
      <c r="H110" s="30">
        <f>SUM(CF!G60:G61)</f>
        <v>136.13999999999999</v>
      </c>
      <c r="I110" s="30">
        <f>SUM(CF!H60:H61)</f>
        <v>117.63</v>
      </c>
      <c r="J110" s="89">
        <v>0</v>
      </c>
      <c r="K110" s="89">
        <f>J110</f>
        <v>0</v>
      </c>
      <c r="L110" s="89">
        <f t="shared" ref="L110:N110" si="150">K110</f>
        <v>0</v>
      </c>
      <c r="M110" s="89">
        <f t="shared" si="150"/>
        <v>0</v>
      </c>
      <c r="N110" s="89">
        <f t="shared" si="150"/>
        <v>0</v>
      </c>
      <c r="O110" s="89">
        <f t="shared" ref="O110" si="151">N110</f>
        <v>0</v>
      </c>
      <c r="P110" s="89">
        <f t="shared" ref="P110" si="152">O110</f>
        <v>0</v>
      </c>
      <c r="Q110" s="89">
        <f t="shared" ref="Q110" si="153">P110</f>
        <v>0</v>
      </c>
      <c r="R110" s="89">
        <f t="shared" ref="R110" si="154">Q110</f>
        <v>0</v>
      </c>
      <c r="S110" s="89">
        <f t="shared" ref="S110" si="155">R110</f>
        <v>0</v>
      </c>
    </row>
    <row r="111" spans="2:19" x14ac:dyDescent="0.3">
      <c r="E111" s="29"/>
      <c r="F111" s="29"/>
      <c r="G111" s="29"/>
      <c r="H111" s="29"/>
      <c r="I111" s="29"/>
      <c r="J111" s="89"/>
      <c r="K111" s="89"/>
      <c r="L111" s="89"/>
      <c r="M111" s="89"/>
      <c r="N111" s="89"/>
      <c r="O111" s="89"/>
      <c r="P111" s="89"/>
      <c r="Q111" s="89"/>
      <c r="R111" s="89"/>
      <c r="S111" s="89"/>
    </row>
    <row r="112" spans="2:19" x14ac:dyDescent="0.3">
      <c r="B112" s="10" t="s">
        <v>214</v>
      </c>
      <c r="C112" s="10"/>
      <c r="D112" s="10"/>
      <c r="E112" s="35">
        <f t="shared" ref="E112:S112" si="156">SUM(E107:E110)</f>
        <v>-321.68999999999994</v>
      </c>
      <c r="F112" s="35">
        <f t="shared" si="156"/>
        <v>-1274.6399999999996</v>
      </c>
      <c r="G112" s="35">
        <f t="shared" si="156"/>
        <v>-2517.63</v>
      </c>
      <c r="H112" s="35">
        <f t="shared" si="156"/>
        <v>-874.12000000000012</v>
      </c>
      <c r="I112" s="35">
        <f t="shared" si="156"/>
        <v>-1334.0699999999997</v>
      </c>
      <c r="J112" s="135">
        <f t="shared" si="156"/>
        <v>20.15352151219372</v>
      </c>
      <c r="K112" s="135">
        <f t="shared" si="156"/>
        <v>-49.003371820766688</v>
      </c>
      <c r="L112" s="135">
        <f t="shared" si="156"/>
        <v>-136.47677642506494</v>
      </c>
      <c r="M112" s="135">
        <f t="shared" si="156"/>
        <v>-247.78169014089599</v>
      </c>
      <c r="N112" s="135">
        <f t="shared" si="156"/>
        <v>-390.37068638413712</v>
      </c>
      <c r="O112" s="135">
        <f t="shared" si="156"/>
        <v>-574.47042716208148</v>
      </c>
      <c r="P112" s="135">
        <f t="shared" si="156"/>
        <v>-814.36833380199039</v>
      </c>
      <c r="Q112" s="135">
        <f t="shared" si="156"/>
        <v>-1130.4534564642981</v>
      </c>
      <c r="R112" s="135">
        <f t="shared" si="156"/>
        <v>-1552.573439911675</v>
      </c>
      <c r="S112" s="135">
        <f t="shared" si="156"/>
        <v>-2125.8019498857511</v>
      </c>
    </row>
    <row r="113" spans="2:19" x14ac:dyDescent="0.3">
      <c r="E113" s="29"/>
      <c r="F113" s="29"/>
      <c r="G113" s="29"/>
      <c r="H113" s="29"/>
      <c r="I113" s="29"/>
      <c r="J113" s="89"/>
      <c r="K113" s="89"/>
      <c r="L113" s="89"/>
      <c r="M113" s="89"/>
      <c r="N113" s="89"/>
      <c r="O113" s="89"/>
      <c r="P113" s="89"/>
      <c r="Q113" s="89"/>
      <c r="R113" s="89"/>
      <c r="S113" s="89"/>
    </row>
    <row r="114" spans="2:19" x14ac:dyDescent="0.3">
      <c r="B114" s="1" t="s">
        <v>215</v>
      </c>
      <c r="E114" s="29"/>
      <c r="F114" s="29"/>
      <c r="G114" s="29"/>
      <c r="H114" s="29"/>
      <c r="I114" s="29"/>
      <c r="J114" s="89"/>
      <c r="K114" s="89"/>
      <c r="L114" s="89"/>
      <c r="M114" s="89"/>
      <c r="N114" s="89"/>
      <c r="O114" s="89"/>
      <c r="P114" s="89"/>
      <c r="Q114" s="89"/>
      <c r="R114" s="89"/>
      <c r="S114" s="89"/>
    </row>
    <row r="115" spans="2:19" x14ac:dyDescent="0.3">
      <c r="B115" t="s">
        <v>216</v>
      </c>
      <c r="E115" s="30">
        <f>SUM(CF!D66:D72)</f>
        <v>123.69999999999999</v>
      </c>
      <c r="F115" s="30">
        <f>SUM(CF!E66:E72)</f>
        <v>-26.480000000000018</v>
      </c>
      <c r="G115" s="30">
        <f>SUM(CF!F66:F72)</f>
        <v>-241.96</v>
      </c>
      <c r="H115" s="30">
        <f>SUM(CF!G66:G72)</f>
        <v>-372.26</v>
      </c>
      <c r="I115" s="30">
        <f>SUM(CF!H66:H72)</f>
        <v>308.12000000000012</v>
      </c>
      <c r="J115" s="89">
        <f>J144</f>
        <v>0</v>
      </c>
      <c r="K115" s="89">
        <f t="shared" ref="K115:N115" si="157">K144</f>
        <v>0</v>
      </c>
      <c r="L115" s="89">
        <f t="shared" si="157"/>
        <v>0</v>
      </c>
      <c r="M115" s="89">
        <f t="shared" si="157"/>
        <v>0</v>
      </c>
      <c r="N115" s="89">
        <f t="shared" si="157"/>
        <v>0</v>
      </c>
      <c r="O115" s="89">
        <f>O144</f>
        <v>0</v>
      </c>
      <c r="P115" s="89">
        <f t="shared" ref="P115:S115" si="158">P144</f>
        <v>0</v>
      </c>
      <c r="Q115" s="89">
        <f t="shared" si="158"/>
        <v>0</v>
      </c>
      <c r="R115" s="89">
        <f t="shared" si="158"/>
        <v>0</v>
      </c>
      <c r="S115" s="89">
        <f t="shared" si="158"/>
        <v>0</v>
      </c>
    </row>
    <row r="116" spans="2:19" x14ac:dyDescent="0.3">
      <c r="B116" t="s">
        <v>151</v>
      </c>
      <c r="E116" s="36">
        <f>CF!D74</f>
        <v>-74.95</v>
      </c>
      <c r="F116" s="36">
        <f>CF!E74</f>
        <v>-35.57</v>
      </c>
      <c r="G116" s="36">
        <f>CF!F74</f>
        <v>0.91</v>
      </c>
      <c r="H116" s="36">
        <f>CF!G74</f>
        <v>-36.92</v>
      </c>
      <c r="I116" s="36">
        <f>CF!H74</f>
        <v>-30.92</v>
      </c>
      <c r="J116" s="89">
        <v>0</v>
      </c>
      <c r="K116" s="89">
        <f t="shared" ref="K116:N116" si="159">J116</f>
        <v>0</v>
      </c>
      <c r="L116" s="89">
        <f t="shared" si="159"/>
        <v>0</v>
      </c>
      <c r="M116" s="89">
        <f t="shared" si="159"/>
        <v>0</v>
      </c>
      <c r="N116" s="89">
        <f t="shared" si="159"/>
        <v>0</v>
      </c>
      <c r="O116" s="89">
        <f t="shared" ref="O116" si="160">N116</f>
        <v>0</v>
      </c>
      <c r="P116" s="89">
        <f t="shared" ref="P116" si="161">O116</f>
        <v>0</v>
      </c>
      <c r="Q116" s="89">
        <f t="shared" ref="Q116" si="162">P116</f>
        <v>0</v>
      </c>
      <c r="R116" s="89">
        <f t="shared" ref="R116" si="163">Q116</f>
        <v>0</v>
      </c>
      <c r="S116" s="89">
        <f t="shared" ref="S116" si="164">R116</f>
        <v>0</v>
      </c>
    </row>
    <row r="117" spans="2:19" x14ac:dyDescent="0.3">
      <c r="B117" t="s">
        <v>217</v>
      </c>
      <c r="E117" s="30">
        <f>CF!D73</f>
        <v>-93.56</v>
      </c>
      <c r="F117" s="30">
        <f>CF!E73</f>
        <v>-141.94999999999999</v>
      </c>
      <c r="G117" s="30">
        <f>CF!F73</f>
        <v>-190.57</v>
      </c>
      <c r="H117" s="30">
        <f>CF!G73</f>
        <v>-203.19</v>
      </c>
      <c r="I117" s="30">
        <f>CF!H73</f>
        <v>-228.33</v>
      </c>
      <c r="J117" s="89">
        <f>J146</f>
        <v>-294.08714429841007</v>
      </c>
      <c r="K117" s="89">
        <f t="shared" ref="K117:N117" si="165">K146</f>
        <v>-294.08714429841007</v>
      </c>
      <c r="L117" s="89">
        <f t="shared" si="165"/>
        <v>-294.08714429841007</v>
      </c>
      <c r="M117" s="89">
        <f t="shared" si="165"/>
        <v>-294.08714429841007</v>
      </c>
      <c r="N117" s="89">
        <f t="shared" si="165"/>
        <v>-294.08714429841007</v>
      </c>
      <c r="O117" s="89">
        <f t="shared" ref="O117:S117" si="166">O146</f>
        <v>-294.08714429841007</v>
      </c>
      <c r="P117" s="89">
        <f t="shared" si="166"/>
        <v>-294.08714429841007</v>
      </c>
      <c r="Q117" s="89">
        <f t="shared" si="166"/>
        <v>-294.08714429841007</v>
      </c>
      <c r="R117" s="89">
        <f t="shared" si="166"/>
        <v>-294.08714429841007</v>
      </c>
      <c r="S117" s="89">
        <f t="shared" si="166"/>
        <v>-294.08714429841007</v>
      </c>
    </row>
    <row r="118" spans="2:19" x14ac:dyDescent="0.3">
      <c r="B118" t="s">
        <v>218</v>
      </c>
      <c r="E118" s="30">
        <f>CF!D75</f>
        <v>-1762.8</v>
      </c>
      <c r="F118" s="30">
        <f>CF!E75</f>
        <v>-1936.05</v>
      </c>
      <c r="G118" s="30">
        <f>CF!F75</f>
        <v>-2550.88</v>
      </c>
      <c r="H118" s="30">
        <f>CF!G75</f>
        <v>-3140.21</v>
      </c>
      <c r="I118" s="30">
        <f>CF!H75</f>
        <v>-2425.38</v>
      </c>
      <c r="J118" s="89">
        <f t="shared" ref="J118:S118" si="167">-J53*J21</f>
        <v>-2614.3463679787292</v>
      </c>
      <c r="K118" s="89">
        <f t="shared" si="167"/>
        <v>-2840.0997568667121</v>
      </c>
      <c r="L118" s="89">
        <f t="shared" si="167"/>
        <v>-3080.1287686491164</v>
      </c>
      <c r="M118" s="89">
        <f t="shared" si="167"/>
        <v>-3336.9864455026941</v>
      </c>
      <c r="N118" s="89">
        <f t="shared" si="167"/>
        <v>-3613.3373350567313</v>
      </c>
      <c r="O118" s="89">
        <f t="shared" si="167"/>
        <v>-3911.9514667777485</v>
      </c>
      <c r="P118" s="89">
        <f t="shared" si="167"/>
        <v>-4235.6746314898792</v>
      </c>
      <c r="Q118" s="89">
        <f t="shared" si="167"/>
        <v>-4587.3584783782308</v>
      </c>
      <c r="R118" s="89">
        <f t="shared" si="167"/>
        <v>-4969.7213916488099</v>
      </c>
      <c r="S118" s="89">
        <f t="shared" si="167"/>
        <v>-5385.087369475953</v>
      </c>
    </row>
    <row r="119" spans="2:19" x14ac:dyDescent="0.3">
      <c r="E119" s="29"/>
      <c r="F119" s="29"/>
      <c r="G119" s="29"/>
      <c r="H119" s="29"/>
      <c r="I119" s="29"/>
      <c r="J119" s="89"/>
      <c r="K119" s="89"/>
      <c r="L119" s="89"/>
      <c r="M119" s="89"/>
      <c r="N119" s="89"/>
      <c r="O119" s="89"/>
      <c r="P119" s="89"/>
      <c r="Q119" s="89"/>
      <c r="R119" s="89"/>
      <c r="S119" s="89"/>
    </row>
    <row r="120" spans="2:19" x14ac:dyDescent="0.3">
      <c r="B120" s="10" t="s">
        <v>219</v>
      </c>
      <c r="C120" s="10"/>
      <c r="D120" s="10"/>
      <c r="E120" s="35">
        <f>SUM(E115:E118)</f>
        <v>-1807.61</v>
      </c>
      <c r="F120" s="35">
        <f t="shared" ref="F120:J120" si="168">SUM(F115:F118)</f>
        <v>-2140.0500000000002</v>
      </c>
      <c r="G120" s="35">
        <f t="shared" si="168"/>
        <v>-2982.5</v>
      </c>
      <c r="H120" s="35">
        <f t="shared" si="168"/>
        <v>-3752.58</v>
      </c>
      <c r="I120" s="35">
        <f t="shared" si="168"/>
        <v>-2376.5100000000002</v>
      </c>
      <c r="J120" s="135">
        <f t="shared" si="168"/>
        <v>-2908.433512277139</v>
      </c>
      <c r="K120" s="135">
        <f t="shared" ref="K120:N120" si="169">SUM(K115:K118)</f>
        <v>-3134.1869011651224</v>
      </c>
      <c r="L120" s="135">
        <f t="shared" si="169"/>
        <v>-3374.2159129475267</v>
      </c>
      <c r="M120" s="135">
        <f t="shared" si="169"/>
        <v>-3631.0735898011044</v>
      </c>
      <c r="N120" s="135">
        <f t="shared" si="169"/>
        <v>-3907.4244793551416</v>
      </c>
      <c r="O120" s="135">
        <f t="shared" ref="O120:S120" si="170">SUM(O115:O118)</f>
        <v>-4206.0386110761583</v>
      </c>
      <c r="P120" s="135">
        <f t="shared" si="170"/>
        <v>-4529.761775788289</v>
      </c>
      <c r="Q120" s="135">
        <f t="shared" si="170"/>
        <v>-4881.4456226766406</v>
      </c>
      <c r="R120" s="135">
        <f t="shared" si="170"/>
        <v>-5263.8085359472198</v>
      </c>
      <c r="S120" s="135">
        <f t="shared" si="170"/>
        <v>-5679.1745137743628</v>
      </c>
    </row>
    <row r="121" spans="2:19" x14ac:dyDescent="0.3">
      <c r="J121" s="88"/>
      <c r="K121" s="88"/>
      <c r="L121" s="88"/>
      <c r="M121" s="88"/>
      <c r="N121" s="88"/>
      <c r="O121" s="88"/>
      <c r="P121" s="88"/>
      <c r="Q121" s="88"/>
      <c r="R121" s="88"/>
      <c r="S121" s="88"/>
    </row>
    <row r="122" spans="2:19" x14ac:dyDescent="0.3">
      <c r="B122" t="s">
        <v>220</v>
      </c>
      <c r="E122" s="32">
        <f t="shared" ref="E122:S122" si="171">E104+E112+E120</f>
        <v>-1142.8099999999995</v>
      </c>
      <c r="F122" s="32">
        <f t="shared" si="171"/>
        <v>778.74000000000069</v>
      </c>
      <c r="G122" s="32">
        <f t="shared" si="171"/>
        <v>603.47000000000025</v>
      </c>
      <c r="H122" s="32">
        <f t="shared" si="171"/>
        <v>-202.74000000000069</v>
      </c>
      <c r="I122" s="32">
        <f t="shared" si="171"/>
        <v>3377.6000000000004</v>
      </c>
      <c r="J122" s="129">
        <f t="shared" si="171"/>
        <v>1276.2320612295443</v>
      </c>
      <c r="K122" s="129">
        <f t="shared" si="171"/>
        <v>1979.1701830362508</v>
      </c>
      <c r="L122" s="129">
        <f t="shared" si="171"/>
        <v>1932.0720498006021</v>
      </c>
      <c r="M122" s="129">
        <f t="shared" si="171"/>
        <v>1882.3632744362758</v>
      </c>
      <c r="N122" s="129">
        <f t="shared" si="171"/>
        <v>1824.0773522400323</v>
      </c>
      <c r="O122" s="129">
        <f t="shared" si="171"/>
        <v>1749.141450312185</v>
      </c>
      <c r="P122" s="129">
        <f t="shared" si="171"/>
        <v>1646.2679741943766</v>
      </c>
      <c r="Q122" s="129">
        <f t="shared" si="171"/>
        <v>1499.1792208049837</v>
      </c>
      <c r="R122" s="129">
        <f t="shared" si="171"/>
        <v>1283.6542062846393</v>
      </c>
      <c r="S122" s="129">
        <f t="shared" si="171"/>
        <v>962.39342311332803</v>
      </c>
    </row>
    <row r="123" spans="2:19" x14ac:dyDescent="0.3">
      <c r="B123" t="s">
        <v>221</v>
      </c>
      <c r="E123" s="32">
        <f>CF!D80</f>
        <v>3421.16</v>
      </c>
      <c r="F123" s="32">
        <f>CF!E80</f>
        <v>2283.29</v>
      </c>
      <c r="G123" s="32">
        <f>CF!F80</f>
        <v>3054.33</v>
      </c>
      <c r="H123" s="32">
        <f>CF!G80</f>
        <v>3626.95</v>
      </c>
      <c r="I123" s="32">
        <f>CF!H80</f>
        <v>3357.42</v>
      </c>
      <c r="J123" s="129">
        <f>I61</f>
        <v>672.83</v>
      </c>
      <c r="K123" s="129">
        <f t="shared" ref="K123:N123" si="172">J125</f>
        <v>1949.0620612295443</v>
      </c>
      <c r="L123" s="129">
        <f t="shared" si="172"/>
        <v>3928.2322442657951</v>
      </c>
      <c r="M123" s="129">
        <f t="shared" si="172"/>
        <v>5860.3042940663972</v>
      </c>
      <c r="N123" s="129">
        <f t="shared" si="172"/>
        <v>7742.667568502673</v>
      </c>
      <c r="O123" s="129">
        <f t="shared" ref="O123" si="173">N125</f>
        <v>9566.7449207427053</v>
      </c>
      <c r="P123" s="129">
        <f t="shared" ref="P123" si="174">O125</f>
        <v>11315.88637105489</v>
      </c>
      <c r="Q123" s="129">
        <f t="shared" ref="Q123" si="175">P125</f>
        <v>12962.154345249266</v>
      </c>
      <c r="R123" s="129">
        <f t="shared" ref="R123" si="176">Q125</f>
        <v>14461.333566054251</v>
      </c>
      <c r="S123" s="129">
        <f t="shared" ref="S123" si="177">R125</f>
        <v>15744.987772338889</v>
      </c>
    </row>
    <row r="124" spans="2:19" x14ac:dyDescent="0.3">
      <c r="B124" t="s">
        <v>156</v>
      </c>
      <c r="E124" s="32">
        <f>CF!D81</f>
        <v>4.9400000000000004</v>
      </c>
      <c r="F124" s="32">
        <f>CF!E81</f>
        <v>-7.7</v>
      </c>
      <c r="G124" s="32">
        <f>CF!F81</f>
        <v>-30.85</v>
      </c>
      <c r="H124" s="32">
        <f>CF!G81</f>
        <v>-66.790000000000006</v>
      </c>
      <c r="I124" s="32">
        <f>CF!H81</f>
        <v>5.84</v>
      </c>
      <c r="J124" s="88">
        <v>0</v>
      </c>
      <c r="K124" s="88">
        <f>J124</f>
        <v>0</v>
      </c>
      <c r="L124" s="88">
        <f t="shared" ref="L124:N124" si="178">K124</f>
        <v>0</v>
      </c>
      <c r="M124" s="88">
        <f t="shared" si="178"/>
        <v>0</v>
      </c>
      <c r="N124" s="88">
        <f t="shared" si="178"/>
        <v>0</v>
      </c>
      <c r="O124" s="88">
        <f t="shared" ref="O124" si="179">N124</f>
        <v>0</v>
      </c>
      <c r="P124" s="88">
        <f t="shared" ref="P124" si="180">O124</f>
        <v>0</v>
      </c>
      <c r="Q124" s="88">
        <f t="shared" ref="Q124" si="181">P124</f>
        <v>0</v>
      </c>
      <c r="R124" s="88">
        <f t="shared" ref="R124" si="182">Q124</f>
        <v>0</v>
      </c>
      <c r="S124" s="88">
        <f t="shared" ref="S124" si="183">R124</f>
        <v>0</v>
      </c>
    </row>
    <row r="125" spans="2:19" x14ac:dyDescent="0.3">
      <c r="B125" s="10" t="s">
        <v>222</v>
      </c>
      <c r="C125" s="13"/>
      <c r="D125" s="13"/>
      <c r="E125" s="11">
        <f>SUM(E122:E124)</f>
        <v>2283.2900000000004</v>
      </c>
      <c r="F125" s="11">
        <f t="shared" ref="F125:I125" si="184">SUM(F122:F124)</f>
        <v>3054.3300000000008</v>
      </c>
      <c r="G125" s="11">
        <f t="shared" si="184"/>
        <v>3626.9500000000003</v>
      </c>
      <c r="H125" s="11">
        <f t="shared" si="184"/>
        <v>3357.4199999999992</v>
      </c>
      <c r="I125" s="11">
        <f t="shared" si="184"/>
        <v>6740.8600000000006</v>
      </c>
      <c r="J125" s="132">
        <f>SUM(J122:J124)</f>
        <v>1949.0620612295443</v>
      </c>
      <c r="K125" s="132">
        <f t="shared" ref="K125:N125" si="185">SUM(K122:K124)</f>
        <v>3928.2322442657951</v>
      </c>
      <c r="L125" s="132">
        <f t="shared" si="185"/>
        <v>5860.3042940663972</v>
      </c>
      <c r="M125" s="132">
        <f t="shared" si="185"/>
        <v>7742.667568502673</v>
      </c>
      <c r="N125" s="132">
        <f t="shared" si="185"/>
        <v>9566.7449207427053</v>
      </c>
      <c r="O125" s="132">
        <f t="shared" ref="O125:S125" si="186">SUM(O122:O124)</f>
        <v>11315.88637105489</v>
      </c>
      <c r="P125" s="132">
        <f t="shared" si="186"/>
        <v>12962.154345249266</v>
      </c>
      <c r="Q125" s="132">
        <f t="shared" si="186"/>
        <v>14461.333566054251</v>
      </c>
      <c r="R125" s="132">
        <f t="shared" si="186"/>
        <v>15744.987772338889</v>
      </c>
      <c r="S125" s="132">
        <f t="shared" si="186"/>
        <v>16707.381195452217</v>
      </c>
    </row>
    <row r="127" spans="2:19" ht="18" x14ac:dyDescent="0.35">
      <c r="B127" s="20" t="s">
        <v>223</v>
      </c>
      <c r="C127" s="3"/>
      <c r="D127" s="3"/>
      <c r="E127" s="3"/>
      <c r="F127" s="3"/>
      <c r="G127" s="3"/>
      <c r="H127" s="3"/>
      <c r="I127" s="3"/>
      <c r="J127" s="3"/>
      <c r="K127" s="3"/>
      <c r="L127" s="3"/>
      <c r="M127" s="3"/>
      <c r="N127" s="3"/>
      <c r="O127" s="3"/>
      <c r="P127" s="3"/>
      <c r="Q127" s="3"/>
      <c r="R127" s="3"/>
      <c r="S127" s="3"/>
    </row>
    <row r="129" spans="2:19" x14ac:dyDescent="0.3">
      <c r="B129" s="1" t="s">
        <v>224</v>
      </c>
    </row>
    <row r="130" spans="2:19" x14ac:dyDescent="0.3">
      <c r="B130" t="s">
        <v>225</v>
      </c>
      <c r="E130" s="32">
        <f>CF!D36</f>
        <v>-1326.48</v>
      </c>
      <c r="F130" s="32">
        <f>CF!E36</f>
        <v>-833.94</v>
      </c>
      <c r="G130" s="32">
        <f>CF!F36</f>
        <v>-361.89</v>
      </c>
      <c r="H130" s="32">
        <f>CF!G36</f>
        <v>281.8</v>
      </c>
      <c r="I130" s="32">
        <f>CF!H36</f>
        <v>-274.01</v>
      </c>
      <c r="J130" s="129">
        <f t="shared" ref="J130:S130" si="187">I63-J63</f>
        <v>-489.39124685410297</v>
      </c>
      <c r="K130" s="129">
        <f t="shared" si="187"/>
        <v>-301.12729634167135</v>
      </c>
      <c r="L130" s="129">
        <f t="shared" si="187"/>
        <v>-335.19483637279973</v>
      </c>
      <c r="M130" s="129">
        <f t="shared" si="187"/>
        <v>-373.34326400504324</v>
      </c>
      <c r="N130" s="129">
        <f t="shared" si="187"/>
        <v>-416.1638428474962</v>
      </c>
      <c r="O130" s="129">
        <f t="shared" si="187"/>
        <v>-464.3398235930681</v>
      </c>
      <c r="P130" s="129">
        <f t="shared" si="187"/>
        <v>-518.66228130613217</v>
      </c>
      <c r="Q130" s="129">
        <f t="shared" si="187"/>
        <v>-580.04885571782506</v>
      </c>
      <c r="R130" s="129">
        <f t="shared" si="187"/>
        <v>-649.56596444271145</v>
      </c>
      <c r="S130" s="129">
        <f t="shared" si="187"/>
        <v>-728.45517700488199</v>
      </c>
    </row>
    <row r="131" spans="2:19" x14ac:dyDescent="0.3">
      <c r="B131" t="s">
        <v>226</v>
      </c>
      <c r="E131" s="32">
        <f>CF!D38</f>
        <v>-2354.38</v>
      </c>
      <c r="F131" s="32">
        <f>CF!E38</f>
        <v>-55.98</v>
      </c>
      <c r="G131" s="32">
        <f>CF!F38</f>
        <v>314.94</v>
      </c>
      <c r="H131" s="32">
        <f>CF!G38</f>
        <v>-805.34</v>
      </c>
      <c r="I131" s="32">
        <f>CF!H38</f>
        <v>975.58</v>
      </c>
      <c r="J131" s="129">
        <f t="shared" ref="J131:S131" si="188">I64-J64</f>
        <v>-1158.0101083913623</v>
      </c>
      <c r="K131" s="129">
        <f t="shared" si="188"/>
        <v>-419.30168584860075</v>
      </c>
      <c r="L131" s="129">
        <f t="shared" si="188"/>
        <v>-466.73869053501403</v>
      </c>
      <c r="M131" s="129">
        <f t="shared" si="188"/>
        <v>-519.85808626234029</v>
      </c>
      <c r="N131" s="129">
        <f t="shared" si="188"/>
        <v>-579.48317211733229</v>
      </c>
      <c r="O131" s="129">
        <f t="shared" si="188"/>
        <v>-646.5653336796895</v>
      </c>
      <c r="P131" s="129">
        <f t="shared" si="188"/>
        <v>-722.2060954945282</v>
      </c>
      <c r="Q131" s="129">
        <f t="shared" si="188"/>
        <v>-807.68321580875272</v>
      </c>
      <c r="R131" s="129">
        <f t="shared" si="188"/>
        <v>-904.48161714195885</v>
      </c>
      <c r="S131" s="129">
        <f t="shared" si="188"/>
        <v>-1014.3301105347855</v>
      </c>
    </row>
    <row r="132" spans="2:19" x14ac:dyDescent="0.3">
      <c r="B132" t="s">
        <v>227</v>
      </c>
      <c r="E132" s="32">
        <f>CF!D40</f>
        <v>644.02</v>
      </c>
      <c r="F132" s="32">
        <f>CF!E40</f>
        <v>-538.97</v>
      </c>
      <c r="G132" s="32">
        <f>CF!F40</f>
        <v>268.58</v>
      </c>
      <c r="H132" s="32">
        <f>CF!G40</f>
        <v>-160.41</v>
      </c>
      <c r="I132" s="32">
        <f>CF!H40</f>
        <v>396.07</v>
      </c>
      <c r="J132" s="129">
        <f t="shared" ref="J132:S132" si="189">J77-I77</f>
        <v>485.36187891235659</v>
      </c>
      <c r="K132" s="129">
        <f t="shared" si="189"/>
        <v>264.1801599519431</v>
      </c>
      <c r="L132" s="129">
        <f t="shared" si="189"/>
        <v>294.06774664345721</v>
      </c>
      <c r="M132" s="129">
        <f t="shared" si="189"/>
        <v>327.53551205774238</v>
      </c>
      <c r="N132" s="129">
        <f t="shared" si="189"/>
        <v>365.10217408162862</v>
      </c>
      <c r="O132" s="129">
        <f t="shared" si="189"/>
        <v>407.36715123191061</v>
      </c>
      <c r="P132" s="129">
        <f t="shared" si="189"/>
        <v>455.02445677002015</v>
      </c>
      <c r="Q132" s="129">
        <f t="shared" si="189"/>
        <v>508.87913963670508</v>
      </c>
      <c r="R132" s="129">
        <f t="shared" si="189"/>
        <v>569.86677219426292</v>
      </c>
      <c r="S132" s="129">
        <f t="shared" si="189"/>
        <v>639.0765882632486</v>
      </c>
    </row>
    <row r="133" spans="2:19" x14ac:dyDescent="0.3">
      <c r="B133" t="s">
        <v>228</v>
      </c>
      <c r="E133" s="32">
        <f>CF!D37+CF!D39+CF!D41+CF!D42</f>
        <v>241.61999999999998</v>
      </c>
      <c r="F133" s="32">
        <f>CF!E37+CF!E39+CF!E41+CF!E42</f>
        <v>656.78</v>
      </c>
      <c r="G133" s="32">
        <f>CF!F37+CF!F39+CF!F41+CF!F42</f>
        <v>-211.57999999999998</v>
      </c>
      <c r="H133" s="32">
        <f>CF!G37+CF!G39+CF!G41+CF!G42</f>
        <v>113.77000000000001</v>
      </c>
      <c r="I133" s="32">
        <f>CF!H37+CF!H39+CF!H41+CF!H42</f>
        <v>378.08000000000004</v>
      </c>
      <c r="J133" s="129">
        <f t="shared" ref="J133:S133" si="190">I65-J65+I78-J78</f>
        <v>0</v>
      </c>
      <c r="K133" s="129">
        <f t="shared" si="190"/>
        <v>0</v>
      </c>
      <c r="L133" s="129">
        <f t="shared" si="190"/>
        <v>0</v>
      </c>
      <c r="M133" s="129">
        <f t="shared" si="190"/>
        <v>0</v>
      </c>
      <c r="N133" s="129">
        <f t="shared" si="190"/>
        <v>0</v>
      </c>
      <c r="O133" s="129">
        <f t="shared" si="190"/>
        <v>0</v>
      </c>
      <c r="P133" s="129">
        <f t="shared" si="190"/>
        <v>0</v>
      </c>
      <c r="Q133" s="129">
        <f t="shared" si="190"/>
        <v>0</v>
      </c>
      <c r="R133" s="129">
        <f t="shared" si="190"/>
        <v>0</v>
      </c>
      <c r="S133" s="129">
        <f t="shared" si="190"/>
        <v>0</v>
      </c>
    </row>
    <row r="134" spans="2:19" x14ac:dyDescent="0.3">
      <c r="B134" s="5" t="s">
        <v>229</v>
      </c>
      <c r="C134" s="6"/>
      <c r="D134" s="6"/>
      <c r="E134" s="7">
        <f>SUM(E130:E133)</f>
        <v>-2795.2200000000003</v>
      </c>
      <c r="F134" s="7">
        <f t="shared" ref="F134:I134" si="191">SUM(F130:F133)</f>
        <v>-772.11000000000013</v>
      </c>
      <c r="G134" s="7">
        <f t="shared" si="191"/>
        <v>10.050000000000011</v>
      </c>
      <c r="H134" s="7">
        <f t="shared" si="191"/>
        <v>-570.17999999999995</v>
      </c>
      <c r="I134" s="7">
        <f t="shared" si="191"/>
        <v>1475.7200000000003</v>
      </c>
      <c r="J134" s="130">
        <f>SUM(J130:J133)</f>
        <v>-1162.0394763331087</v>
      </c>
      <c r="K134" s="130">
        <f t="shared" ref="K134:N134" si="192">SUM(K130:K133)</f>
        <v>-456.24882223832901</v>
      </c>
      <c r="L134" s="130">
        <f t="shared" si="192"/>
        <v>-507.86578026435654</v>
      </c>
      <c r="M134" s="130">
        <f t="shared" si="192"/>
        <v>-565.66583820964115</v>
      </c>
      <c r="N134" s="130">
        <f t="shared" si="192"/>
        <v>-630.54484088319987</v>
      </c>
      <c r="O134" s="130">
        <f t="shared" ref="O134:S134" si="193">SUM(O130:O133)</f>
        <v>-703.53800604084699</v>
      </c>
      <c r="P134" s="130">
        <f t="shared" si="193"/>
        <v>-785.84392003064022</v>
      </c>
      <c r="Q134" s="130">
        <f t="shared" si="193"/>
        <v>-878.85293188987271</v>
      </c>
      <c r="R134" s="130">
        <f t="shared" si="193"/>
        <v>-984.18080939040738</v>
      </c>
      <c r="S134" s="130">
        <f t="shared" si="193"/>
        <v>-1103.7086992764189</v>
      </c>
    </row>
    <row r="135" spans="2:19" x14ac:dyDescent="0.3">
      <c r="J135" s="88"/>
      <c r="K135" s="88"/>
      <c r="L135" s="88"/>
      <c r="M135" s="88"/>
      <c r="N135" s="88"/>
      <c r="O135" s="88"/>
      <c r="P135" s="88"/>
      <c r="Q135" s="88"/>
      <c r="R135" s="88"/>
      <c r="S135" s="88"/>
    </row>
    <row r="136" spans="2:19" x14ac:dyDescent="0.3">
      <c r="B136" s="1" t="s">
        <v>255</v>
      </c>
      <c r="J136" s="88"/>
      <c r="K136" s="88"/>
      <c r="L136" s="88"/>
      <c r="M136" s="88"/>
      <c r="N136" s="88"/>
      <c r="O136" s="88"/>
      <c r="P136" s="88"/>
      <c r="Q136" s="88"/>
      <c r="R136" s="88"/>
      <c r="S136" s="88"/>
    </row>
    <row r="137" spans="2:19" x14ac:dyDescent="0.3">
      <c r="B137" t="s">
        <v>256</v>
      </c>
      <c r="F137" s="43">
        <f>E140</f>
        <v>5519.0599999999995</v>
      </c>
      <c r="G137" s="43">
        <f t="shared" ref="G137:H137" si="194">F140</f>
        <v>5770.4599999999991</v>
      </c>
      <c r="H137" s="43">
        <f t="shared" si="194"/>
        <v>7146.619999999999</v>
      </c>
      <c r="I137" s="43">
        <f>H140</f>
        <v>9220.1</v>
      </c>
      <c r="J137" s="136">
        <f>I140</f>
        <v>9640.2800000000007</v>
      </c>
      <c r="K137" s="136">
        <f t="shared" ref="K137:N137" si="195">J140</f>
        <v>9110.3185522486019</v>
      </c>
      <c r="L137" s="136">
        <f t="shared" si="195"/>
        <v>8747.9955561648458</v>
      </c>
      <c r="M137" s="136">
        <f t="shared" si="195"/>
        <v>8556.3599706396744</v>
      </c>
      <c r="N137" s="136">
        <f t="shared" si="195"/>
        <v>8544.123215698668</v>
      </c>
      <c r="O137" s="136">
        <f t="shared" ref="O137" si="196">N140</f>
        <v>8727.0123251468649</v>
      </c>
      <c r="P137" s="136">
        <f t="shared" ref="P137" si="197">O140</f>
        <v>9129.8138969927113</v>
      </c>
      <c r="Q137" s="136">
        <f t="shared" ref="Q137" si="198">P140</f>
        <v>9789.4807874889466</v>
      </c>
      <c r="R137" s="136">
        <f t="shared" ref="R137" si="199">Q140</f>
        <v>10759.934733305425</v>
      </c>
      <c r="S137" s="136">
        <f t="shared" ref="S137" si="200">R140</f>
        <v>12119.686938434093</v>
      </c>
    </row>
    <row r="138" spans="2:19" x14ac:dyDescent="0.3">
      <c r="B138" t="s">
        <v>257</v>
      </c>
      <c r="F138" s="12">
        <f>F140-F137-F139</f>
        <v>1109.4199999999996</v>
      </c>
      <c r="G138" s="12">
        <f>G140-G137-G139</f>
        <v>2229.16</v>
      </c>
      <c r="H138" s="12">
        <f>H140-H137-H139</f>
        <v>3099.8200000000015</v>
      </c>
      <c r="I138" s="12">
        <f>I140-I137-I139</f>
        <v>1649.0300000000002</v>
      </c>
      <c r="J138" s="137">
        <f t="shared" ref="J138:S138" si="201">(J30-I30)/J25</f>
        <v>588.65447312143067</v>
      </c>
      <c r="K138" s="137">
        <f t="shared" si="201"/>
        <v>694.79851664911087</v>
      </c>
      <c r="L138" s="137">
        <f t="shared" si="201"/>
        <v>823.44355168357799</v>
      </c>
      <c r="M138" s="137">
        <f t="shared" si="201"/>
        <v>980.60582721184755</v>
      </c>
      <c r="N138" s="137">
        <f t="shared" si="201"/>
        <v>1174.3117920860125</v>
      </c>
      <c r="O138" s="137">
        <f t="shared" si="201"/>
        <v>1415.4459067160685</v>
      </c>
      <c r="P138" s="137">
        <f t="shared" si="201"/>
        <v>1719.0505577530018</v>
      </c>
      <c r="Q138" s="137">
        <f t="shared" si="201"/>
        <v>2106.3824734073587</v>
      </c>
      <c r="R138" s="137">
        <f t="shared" si="201"/>
        <v>2608.287963449794</v>
      </c>
      <c r="S138" s="137">
        <f t="shared" si="201"/>
        <v>3270.9918593132638</v>
      </c>
    </row>
    <row r="139" spans="2:19" x14ac:dyDescent="0.3">
      <c r="B139" t="s">
        <v>258</v>
      </c>
      <c r="E139" s="44">
        <f>-E100</f>
        <v>-816.36</v>
      </c>
      <c r="F139" s="44">
        <f>-F100</f>
        <v>-858.02</v>
      </c>
      <c r="G139" s="44">
        <f>-G100</f>
        <v>-853</v>
      </c>
      <c r="H139" s="44">
        <f>-H100</f>
        <v>-1026.3399999999999</v>
      </c>
      <c r="I139" s="44">
        <f>-I100</f>
        <v>-1228.8499999999999</v>
      </c>
      <c r="J139" s="89">
        <f t="shared" ref="J139:S139" si="202">-J137*J16</f>
        <v>-1118.61592087283</v>
      </c>
      <c r="K139" s="89">
        <f t="shared" si="202"/>
        <v>-1057.1215127328662</v>
      </c>
      <c r="L139" s="89">
        <f t="shared" si="202"/>
        <v>-1015.0791372087493</v>
      </c>
      <c r="M139" s="89">
        <f t="shared" si="202"/>
        <v>-992.84258215285433</v>
      </c>
      <c r="N139" s="89">
        <f t="shared" si="202"/>
        <v>-991.42268263781648</v>
      </c>
      <c r="O139" s="89">
        <f t="shared" si="202"/>
        <v>-1012.6443348702212</v>
      </c>
      <c r="P139" s="89">
        <f t="shared" si="202"/>
        <v>-1059.3836672567666</v>
      </c>
      <c r="Q139" s="89">
        <f t="shared" si="202"/>
        <v>-1135.9285275908815</v>
      </c>
      <c r="R139" s="89">
        <f t="shared" si="202"/>
        <v>-1248.5357583211271</v>
      </c>
      <c r="S139" s="89">
        <f t="shared" si="202"/>
        <v>-1406.3154561202434</v>
      </c>
    </row>
    <row r="140" spans="2:19" x14ac:dyDescent="0.3">
      <c r="B140" s="5" t="s">
        <v>259</v>
      </c>
      <c r="C140" s="6"/>
      <c r="D140" s="6"/>
      <c r="E140" s="23">
        <f>E68</f>
        <v>5519.0599999999995</v>
      </c>
      <c r="F140" s="23">
        <f>F68</f>
        <v>5770.4599999999991</v>
      </c>
      <c r="G140" s="23">
        <f>G68</f>
        <v>7146.619999999999</v>
      </c>
      <c r="H140" s="23">
        <f>H68</f>
        <v>9220.1</v>
      </c>
      <c r="I140" s="23">
        <f>I68</f>
        <v>9640.2800000000007</v>
      </c>
      <c r="J140" s="131">
        <f t="shared" ref="J140:S140" si="203">SUM(J137:J139)</f>
        <v>9110.3185522486019</v>
      </c>
      <c r="K140" s="131">
        <f t="shared" si="203"/>
        <v>8747.9955561648458</v>
      </c>
      <c r="L140" s="131">
        <f t="shared" si="203"/>
        <v>8556.3599706396744</v>
      </c>
      <c r="M140" s="131">
        <f t="shared" si="203"/>
        <v>8544.123215698668</v>
      </c>
      <c r="N140" s="131">
        <f t="shared" si="203"/>
        <v>8727.0123251468649</v>
      </c>
      <c r="O140" s="131">
        <f t="shared" si="203"/>
        <v>9129.8138969927113</v>
      </c>
      <c r="P140" s="131">
        <f t="shared" si="203"/>
        <v>9789.4807874889466</v>
      </c>
      <c r="Q140" s="131">
        <f t="shared" si="203"/>
        <v>10759.934733305425</v>
      </c>
      <c r="R140" s="131">
        <f t="shared" si="203"/>
        <v>12119.686938434093</v>
      </c>
      <c r="S140" s="131">
        <f t="shared" si="203"/>
        <v>13984.363341627115</v>
      </c>
    </row>
    <row r="141" spans="2:19" x14ac:dyDescent="0.3">
      <c r="J141" s="88"/>
      <c r="K141" s="88"/>
      <c r="L141" s="88"/>
      <c r="M141" s="88"/>
      <c r="N141" s="88"/>
      <c r="O141" s="88"/>
      <c r="P141" s="88"/>
      <c r="Q141" s="88"/>
      <c r="R141" s="88"/>
      <c r="S141" s="88"/>
    </row>
    <row r="142" spans="2:19" x14ac:dyDescent="0.3">
      <c r="B142" s="1" t="s">
        <v>260</v>
      </c>
      <c r="J142" s="88"/>
      <c r="K142" s="88"/>
      <c r="L142" s="88"/>
      <c r="M142" s="88"/>
      <c r="N142" s="88"/>
      <c r="O142" s="88"/>
      <c r="P142" s="88"/>
      <c r="Q142" s="88"/>
      <c r="R142" s="88"/>
      <c r="S142" s="88"/>
    </row>
    <row r="143" spans="2:19" x14ac:dyDescent="0.3">
      <c r="B143" t="s">
        <v>261</v>
      </c>
      <c r="F143" s="43">
        <f>E145</f>
        <v>1586.88</v>
      </c>
      <c r="G143" s="43">
        <f t="shared" ref="G143:N143" si="204">F145</f>
        <v>1932.6200000000001</v>
      </c>
      <c r="H143" s="43">
        <f t="shared" si="204"/>
        <v>2474.38</v>
      </c>
      <c r="I143" s="43">
        <f t="shared" si="204"/>
        <v>2290.29</v>
      </c>
      <c r="J143" s="136">
        <f t="shared" si="204"/>
        <v>3928.93</v>
      </c>
      <c r="K143" s="136">
        <f t="shared" si="204"/>
        <v>3928.93</v>
      </c>
      <c r="L143" s="136">
        <f t="shared" si="204"/>
        <v>3928.93</v>
      </c>
      <c r="M143" s="136">
        <f t="shared" si="204"/>
        <v>3928.93</v>
      </c>
      <c r="N143" s="136">
        <f t="shared" si="204"/>
        <v>3928.93</v>
      </c>
      <c r="O143" s="136">
        <f t="shared" ref="O143" si="205">N145</f>
        <v>3928.93</v>
      </c>
      <c r="P143" s="136">
        <f t="shared" ref="P143" si="206">O145</f>
        <v>3928.93</v>
      </c>
      <c r="Q143" s="136">
        <f t="shared" ref="Q143" si="207">P145</f>
        <v>3928.93</v>
      </c>
      <c r="R143" s="136">
        <f t="shared" ref="R143" si="208">Q145</f>
        <v>3928.93</v>
      </c>
      <c r="S143" s="136">
        <f t="shared" ref="S143" si="209">R145</f>
        <v>3928.93</v>
      </c>
    </row>
    <row r="144" spans="2:19" x14ac:dyDescent="0.3">
      <c r="B144" t="s">
        <v>262</v>
      </c>
      <c r="F144" s="12">
        <f>F145-F143</f>
        <v>345.74</v>
      </c>
      <c r="G144" s="12">
        <f t="shared" ref="G144:I144" si="210">G145-G143</f>
        <v>541.76</v>
      </c>
      <c r="H144" s="12">
        <f t="shared" si="210"/>
        <v>-184.09000000000015</v>
      </c>
      <c r="I144" s="12">
        <f t="shared" si="210"/>
        <v>1638.6399999999999</v>
      </c>
      <c r="J144" s="88">
        <v>0</v>
      </c>
      <c r="K144" s="88">
        <v>0</v>
      </c>
      <c r="L144" s="88">
        <v>0</v>
      </c>
      <c r="M144" s="88">
        <v>0</v>
      </c>
      <c r="N144" s="88">
        <v>0</v>
      </c>
      <c r="O144" s="88">
        <v>0</v>
      </c>
      <c r="P144" s="88">
        <v>0</v>
      </c>
      <c r="Q144" s="88">
        <v>0</v>
      </c>
      <c r="R144" s="88">
        <v>0</v>
      </c>
      <c r="S144" s="88">
        <v>0</v>
      </c>
    </row>
    <row r="145" spans="2:19" x14ac:dyDescent="0.3">
      <c r="B145" s="5" t="s">
        <v>263</v>
      </c>
      <c r="C145" s="6"/>
      <c r="D145" s="6"/>
      <c r="E145" s="23">
        <f>E81</f>
        <v>1586.88</v>
      </c>
      <c r="F145" s="23">
        <f>F81</f>
        <v>1932.6200000000001</v>
      </c>
      <c r="G145" s="23">
        <f>G81</f>
        <v>2474.38</v>
      </c>
      <c r="H145" s="23">
        <f>H81</f>
        <v>2290.29</v>
      </c>
      <c r="I145" s="23">
        <f>I81</f>
        <v>3928.93</v>
      </c>
      <c r="J145" s="131">
        <f>SUM(J143:J144)</f>
        <v>3928.93</v>
      </c>
      <c r="K145" s="131">
        <f t="shared" ref="K145:N145" si="211">SUM(K143:K144)</f>
        <v>3928.93</v>
      </c>
      <c r="L145" s="131">
        <f t="shared" si="211"/>
        <v>3928.93</v>
      </c>
      <c r="M145" s="131">
        <f t="shared" si="211"/>
        <v>3928.93</v>
      </c>
      <c r="N145" s="131">
        <f t="shared" si="211"/>
        <v>3928.93</v>
      </c>
      <c r="O145" s="131">
        <f t="shared" ref="O145:S145" si="212">SUM(O143:O144)</f>
        <v>3928.93</v>
      </c>
      <c r="P145" s="131">
        <f t="shared" si="212"/>
        <v>3928.93</v>
      </c>
      <c r="Q145" s="131">
        <f t="shared" si="212"/>
        <v>3928.93</v>
      </c>
      <c r="R145" s="131">
        <f t="shared" si="212"/>
        <v>3928.93</v>
      </c>
      <c r="S145" s="131">
        <f t="shared" si="212"/>
        <v>3928.93</v>
      </c>
    </row>
    <row r="146" spans="2:19" x14ac:dyDescent="0.3">
      <c r="B146" t="s">
        <v>264</v>
      </c>
      <c r="E146" s="43">
        <f>E43</f>
        <v>-95.41</v>
      </c>
      <c r="F146" s="43">
        <f>F43</f>
        <v>-144.44999999999999</v>
      </c>
      <c r="G146" s="43">
        <f>G43</f>
        <v>-205.17</v>
      </c>
      <c r="H146" s="43">
        <f>H43</f>
        <v>-227.02</v>
      </c>
      <c r="I146" s="43">
        <f>I43</f>
        <v>-195.41</v>
      </c>
      <c r="J146" s="136">
        <f t="shared" ref="J146:S146" si="213">-J143*J17</f>
        <v>-294.08714429841007</v>
      </c>
      <c r="K146" s="136">
        <f t="shared" si="213"/>
        <v>-294.08714429841007</v>
      </c>
      <c r="L146" s="136">
        <f t="shared" si="213"/>
        <v>-294.08714429841007</v>
      </c>
      <c r="M146" s="136">
        <f t="shared" si="213"/>
        <v>-294.08714429841007</v>
      </c>
      <c r="N146" s="136">
        <f t="shared" si="213"/>
        <v>-294.08714429841007</v>
      </c>
      <c r="O146" s="136">
        <f t="shared" si="213"/>
        <v>-294.08714429841007</v>
      </c>
      <c r="P146" s="136">
        <f t="shared" si="213"/>
        <v>-294.08714429841007</v>
      </c>
      <c r="Q146" s="136">
        <f t="shared" si="213"/>
        <v>-294.08714429841007</v>
      </c>
      <c r="R146" s="136">
        <f t="shared" si="213"/>
        <v>-294.08714429841007</v>
      </c>
      <c r="S146" s="136">
        <f t="shared" si="213"/>
        <v>-294.08714429841007</v>
      </c>
    </row>
    <row r="148" spans="2:19" ht="18" x14ac:dyDescent="0.35">
      <c r="B148" s="20" t="s">
        <v>265</v>
      </c>
      <c r="C148" s="3"/>
      <c r="D148" s="3"/>
      <c r="E148" s="3"/>
      <c r="F148" s="3"/>
      <c r="G148" s="3"/>
      <c r="H148" s="3"/>
      <c r="I148" s="3"/>
      <c r="J148" s="3"/>
      <c r="K148" s="3"/>
      <c r="L148" s="3"/>
      <c r="M148" s="3"/>
      <c r="N148" s="3"/>
      <c r="O148" s="3"/>
      <c r="P148" s="3"/>
      <c r="Q148" s="3"/>
      <c r="R148" s="3"/>
      <c r="S148" s="3"/>
    </row>
    <row r="150" spans="2:19" x14ac:dyDescent="0.3">
      <c r="B150" s="1" t="s">
        <v>339</v>
      </c>
    </row>
    <row r="152" spans="2:19" x14ac:dyDescent="0.3">
      <c r="B152" t="s">
        <v>340</v>
      </c>
      <c r="C152" s="79">
        <v>46233</v>
      </c>
    </row>
    <row r="153" spans="2:19" x14ac:dyDescent="0.3">
      <c r="B153" t="s">
        <v>315</v>
      </c>
      <c r="C153" s="73">
        <f>WACC!D39</f>
        <v>0.2621073459569862</v>
      </c>
    </row>
    <row r="154" spans="2:19" x14ac:dyDescent="0.3">
      <c r="B154" s="29" t="s">
        <v>341</v>
      </c>
      <c r="C154" s="80">
        <f>'Company Valuation'!P18</f>
        <v>22.819191919191923</v>
      </c>
    </row>
    <row r="155" spans="2:19" x14ac:dyDescent="0.3">
      <c r="B155" t="s">
        <v>342</v>
      </c>
      <c r="C155" s="72">
        <v>7.0000000000000007E-2</v>
      </c>
    </row>
    <row r="156" spans="2:19" x14ac:dyDescent="0.3">
      <c r="B156" t="s">
        <v>343</v>
      </c>
      <c r="C156" s="81">
        <f>WACC!D50</f>
        <v>7.8523980826680481E-2</v>
      </c>
    </row>
    <row r="157" spans="2:19" x14ac:dyDescent="0.3">
      <c r="B157" t="s">
        <v>344</v>
      </c>
      <c r="C157" s="82">
        <f>'Company Valuation'!E9</f>
        <v>100.22348484848484</v>
      </c>
    </row>
    <row r="158" spans="2:19" x14ac:dyDescent="0.3">
      <c r="B158" t="s">
        <v>345</v>
      </c>
      <c r="C158" s="83">
        <f>'Company Valuation'!D9</f>
        <v>2640</v>
      </c>
    </row>
    <row r="160" spans="2:19" x14ac:dyDescent="0.3">
      <c r="B160" s="1" t="s">
        <v>346</v>
      </c>
      <c r="D160" s="84"/>
      <c r="E160" s="92">
        <f t="shared" ref="E160:N160" si="214">J4</f>
        <v>2027</v>
      </c>
      <c r="F160" s="92">
        <f t="shared" si="214"/>
        <v>2028</v>
      </c>
      <c r="G160" s="92">
        <f t="shared" si="214"/>
        <v>2029</v>
      </c>
      <c r="H160" s="92">
        <f t="shared" si="214"/>
        <v>2030</v>
      </c>
      <c r="I160" s="92">
        <f t="shared" si="214"/>
        <v>2031</v>
      </c>
      <c r="J160" s="92">
        <f t="shared" si="214"/>
        <v>2032</v>
      </c>
      <c r="K160" s="92">
        <f t="shared" si="214"/>
        <v>2033</v>
      </c>
      <c r="L160" s="92">
        <f t="shared" si="214"/>
        <v>2034</v>
      </c>
      <c r="M160" s="92">
        <f t="shared" si="214"/>
        <v>2035</v>
      </c>
      <c r="N160" s="92">
        <f t="shared" si="214"/>
        <v>2036</v>
      </c>
      <c r="O160" s="92"/>
    </row>
    <row r="161" spans="2:18" x14ac:dyDescent="0.3">
      <c r="B161" t="s">
        <v>337</v>
      </c>
      <c r="D161" s="85"/>
      <c r="E161" s="86">
        <f>D161+1</f>
        <v>1</v>
      </c>
      <c r="F161" s="86">
        <f t="shared" ref="F161:I161" si="215">E161+1</f>
        <v>2</v>
      </c>
      <c r="G161" s="86">
        <f t="shared" si="215"/>
        <v>3</v>
      </c>
      <c r="H161" s="86">
        <f t="shared" si="215"/>
        <v>4</v>
      </c>
      <c r="I161" s="86">
        <f t="shared" si="215"/>
        <v>5</v>
      </c>
      <c r="J161" s="86">
        <f t="shared" ref="J161" si="216">I161+1</f>
        <v>6</v>
      </c>
      <c r="K161" s="86">
        <f t="shared" ref="K161" si="217">J161+1</f>
        <v>7</v>
      </c>
      <c r="L161" s="86">
        <f t="shared" ref="L161" si="218">K161+1</f>
        <v>8</v>
      </c>
      <c r="M161" s="86">
        <f t="shared" ref="M161" si="219">L161+1</f>
        <v>9</v>
      </c>
      <c r="N161" s="86">
        <f t="shared" ref="N161" si="220">M161+1</f>
        <v>10</v>
      </c>
    </row>
    <row r="162" spans="2:18" x14ac:dyDescent="0.3">
      <c r="E162" s="29"/>
      <c r="F162" s="29"/>
      <c r="G162" s="29"/>
      <c r="H162" s="29"/>
      <c r="I162" s="29"/>
    </row>
    <row r="163" spans="2:18" x14ac:dyDescent="0.3">
      <c r="B163" t="s">
        <v>347</v>
      </c>
      <c r="E163" s="30">
        <f t="shared" ref="E163:N163" si="221">J42</f>
        <v>5848.9130411694514</v>
      </c>
      <c r="F163" s="30">
        <f t="shared" si="221"/>
        <v>6333.7084612486633</v>
      </c>
      <c r="G163" s="30">
        <f t="shared" si="221"/>
        <v>6846.941310559735</v>
      </c>
      <c r="H163" s="30">
        <f t="shared" si="221"/>
        <v>7393.9943912975832</v>
      </c>
      <c r="I163" s="30">
        <f t="shared" si="221"/>
        <v>7980.42461020257</v>
      </c>
      <c r="J163" s="30">
        <f t="shared" si="221"/>
        <v>8611.9352728368231</v>
      </c>
      <c r="K163" s="30">
        <f t="shared" si="221"/>
        <v>9294.2904835185163</v>
      </c>
      <c r="L163" s="30">
        <f t="shared" si="221"/>
        <v>10033.132572765233</v>
      </c>
      <c r="M163" s="30">
        <f t="shared" si="221"/>
        <v>10833.633962244265</v>
      </c>
      <c r="N163" s="30">
        <f t="shared" si="221"/>
        <v>11699.859119948771</v>
      </c>
      <c r="P163" s="37" t="s">
        <v>354</v>
      </c>
      <c r="Q163" s="93"/>
      <c r="R163" s="93"/>
    </row>
    <row r="164" spans="2:18" x14ac:dyDescent="0.3">
      <c r="B164" t="s">
        <v>348</v>
      </c>
      <c r="E164" s="30">
        <f>-E163*$C$153</f>
        <v>-1533.0430739541298</v>
      </c>
      <c r="F164" s="30">
        <f>-F163*$C$153</f>
        <v>-1660.1115148431941</v>
      </c>
      <c r="G164" s="30">
        <f>-G163*$C$153</f>
        <v>-1794.6336148340611</v>
      </c>
      <c r="H164" s="30">
        <f t="shared" ref="H164:I164" si="222">-H163*$C$153</f>
        <v>-1938.0202459238512</v>
      </c>
      <c r="I164" s="30">
        <f t="shared" si="222"/>
        <v>-2091.7279141900117</v>
      </c>
      <c r="J164" s="30">
        <f t="shared" ref="J164:N164" si="223">-J163*$C$153</f>
        <v>-2257.2514979166135</v>
      </c>
      <c r="K164" s="30">
        <f t="shared" si="223"/>
        <v>-2436.1018111883122</v>
      </c>
      <c r="L164" s="30">
        <f t="shared" si="223"/>
        <v>-2629.7577502820841</v>
      </c>
      <c r="M164" s="30">
        <f t="shared" si="223"/>
        <v>-2839.5750449133129</v>
      </c>
      <c r="N164" s="30">
        <f t="shared" si="223"/>
        <v>-3066.6190220004128</v>
      </c>
      <c r="Q164" s="29"/>
      <c r="R164" s="29"/>
    </row>
    <row r="165" spans="2:18" x14ac:dyDescent="0.3">
      <c r="E165" s="29"/>
      <c r="F165" s="29"/>
      <c r="G165" s="29"/>
      <c r="H165" s="29"/>
      <c r="I165" s="29"/>
      <c r="J165" s="29"/>
      <c r="K165" s="29"/>
      <c r="L165" s="29"/>
      <c r="M165" s="29"/>
      <c r="N165" s="29"/>
      <c r="P165" s="29"/>
      <c r="Q165" s="29"/>
      <c r="R165" s="29"/>
    </row>
    <row r="166" spans="2:18" x14ac:dyDescent="0.3">
      <c r="B166" s="5" t="s">
        <v>349</v>
      </c>
      <c r="C166" s="5"/>
      <c r="D166" s="5"/>
      <c r="E166" s="87">
        <f>SUM(E163:E164)</f>
        <v>4315.8699672153216</v>
      </c>
      <c r="F166" s="87">
        <f t="shared" ref="F166:I166" si="224">SUM(F163:F164)</f>
        <v>4673.5969464054688</v>
      </c>
      <c r="G166" s="87">
        <f t="shared" si="224"/>
        <v>5052.3076957256744</v>
      </c>
      <c r="H166" s="87">
        <f t="shared" si="224"/>
        <v>5455.9741453737315</v>
      </c>
      <c r="I166" s="87">
        <f t="shared" si="224"/>
        <v>5888.6966960125583</v>
      </c>
      <c r="J166" s="87">
        <f t="shared" ref="J166:N166" si="225">SUM(J163:J164)</f>
        <v>6354.6837749202095</v>
      </c>
      <c r="K166" s="87">
        <f t="shared" si="225"/>
        <v>6858.1886723302041</v>
      </c>
      <c r="L166" s="87">
        <f t="shared" si="225"/>
        <v>7403.3748224831488</v>
      </c>
      <c r="M166" s="87">
        <f t="shared" si="225"/>
        <v>7994.0589173309518</v>
      </c>
      <c r="N166" s="87">
        <f t="shared" si="225"/>
        <v>8633.2400979483573</v>
      </c>
      <c r="P166" s="29" t="s">
        <v>278</v>
      </c>
      <c r="Q166" s="29"/>
      <c r="R166" s="29">
        <f>(N163+N167)*C154</f>
        <v>299072.31297775265</v>
      </c>
    </row>
    <row r="167" spans="2:18" x14ac:dyDescent="0.3">
      <c r="B167" t="s">
        <v>350</v>
      </c>
      <c r="E167" s="30">
        <f t="shared" ref="E167:N167" si="226">J100</f>
        <v>1118.61592087283</v>
      </c>
      <c r="F167" s="30">
        <f t="shared" si="226"/>
        <v>1057.1215127328662</v>
      </c>
      <c r="G167" s="30">
        <f t="shared" si="226"/>
        <v>1015.0791372087493</v>
      </c>
      <c r="H167" s="30">
        <f t="shared" si="226"/>
        <v>992.84258215285433</v>
      </c>
      <c r="I167" s="30">
        <f t="shared" si="226"/>
        <v>991.42268263781648</v>
      </c>
      <c r="J167" s="30">
        <f t="shared" si="226"/>
        <v>1012.6443348702212</v>
      </c>
      <c r="K167" s="30">
        <f t="shared" si="226"/>
        <v>1059.3836672567666</v>
      </c>
      <c r="L167" s="30">
        <f t="shared" si="226"/>
        <v>1135.9285275908815</v>
      </c>
      <c r="M167" s="30">
        <f t="shared" si="226"/>
        <v>1248.5357583211271</v>
      </c>
      <c r="N167" s="30">
        <f t="shared" si="226"/>
        <v>1406.3154561202434</v>
      </c>
      <c r="P167" s="29" t="s">
        <v>357</v>
      </c>
      <c r="Q167" s="29"/>
      <c r="R167" s="29">
        <f>N171*(1+C155)/(C156-C155)</f>
        <v>988192.21123169828</v>
      </c>
    </row>
    <row r="168" spans="2:18" x14ac:dyDescent="0.3">
      <c r="B168" t="s">
        <v>351</v>
      </c>
      <c r="E168" s="30">
        <f t="shared" ref="E168:N168" si="227">-J138</f>
        <v>-588.65447312143067</v>
      </c>
      <c r="F168" s="30">
        <f t="shared" si="227"/>
        <v>-694.79851664911087</v>
      </c>
      <c r="G168" s="30">
        <f t="shared" si="227"/>
        <v>-823.44355168357799</v>
      </c>
      <c r="H168" s="30">
        <f t="shared" si="227"/>
        <v>-980.60582721184755</v>
      </c>
      <c r="I168" s="30">
        <f t="shared" si="227"/>
        <v>-1174.3117920860125</v>
      </c>
      <c r="J168" s="30">
        <f t="shared" si="227"/>
        <v>-1415.4459067160685</v>
      </c>
      <c r="K168" s="30">
        <f t="shared" si="227"/>
        <v>-1719.0505577530018</v>
      </c>
      <c r="L168" s="30">
        <f t="shared" si="227"/>
        <v>-2106.3824734073587</v>
      </c>
      <c r="M168" s="30">
        <f t="shared" si="227"/>
        <v>-2608.287963449794</v>
      </c>
      <c r="N168" s="30">
        <f t="shared" si="227"/>
        <v>-3270.9918593132638</v>
      </c>
      <c r="P168" s="29" t="s">
        <v>358</v>
      </c>
      <c r="Q168" s="29"/>
      <c r="R168" s="29">
        <f>AVERAGE(R166:R167)</f>
        <v>643632.26210472547</v>
      </c>
    </row>
    <row r="169" spans="2:18" x14ac:dyDescent="0.3">
      <c r="B169" t="s">
        <v>352</v>
      </c>
      <c r="E169" s="30">
        <f t="shared" ref="E169:N169" si="228">-J134</f>
        <v>1162.0394763331087</v>
      </c>
      <c r="F169" s="30">
        <f t="shared" si="228"/>
        <v>456.24882223832901</v>
      </c>
      <c r="G169" s="30">
        <f t="shared" si="228"/>
        <v>507.86578026435654</v>
      </c>
      <c r="H169" s="30">
        <f t="shared" si="228"/>
        <v>565.66583820964115</v>
      </c>
      <c r="I169" s="30">
        <f t="shared" si="228"/>
        <v>630.54484088319987</v>
      </c>
      <c r="J169" s="30">
        <f t="shared" si="228"/>
        <v>703.53800604084699</v>
      </c>
      <c r="K169" s="30">
        <f t="shared" si="228"/>
        <v>785.84392003064022</v>
      </c>
      <c r="L169" s="30">
        <f t="shared" si="228"/>
        <v>878.85293188987271</v>
      </c>
      <c r="M169" s="30">
        <f t="shared" si="228"/>
        <v>984.18080939040738</v>
      </c>
      <c r="N169" s="30">
        <f t="shared" si="228"/>
        <v>1103.7086992764189</v>
      </c>
    </row>
    <row r="170" spans="2:18" x14ac:dyDescent="0.3">
      <c r="E170" s="29"/>
      <c r="F170" s="29"/>
      <c r="G170" s="29"/>
      <c r="H170" s="29"/>
      <c r="I170" s="29"/>
    </row>
    <row r="171" spans="2:18" x14ac:dyDescent="0.3">
      <c r="B171" s="5" t="s">
        <v>353</v>
      </c>
      <c r="C171" s="6"/>
      <c r="D171" s="5"/>
      <c r="E171" s="87">
        <f>SUM(E166:E169)</f>
        <v>6007.8708912998291</v>
      </c>
      <c r="F171" s="87">
        <f t="shared" ref="F171:H171" si="229">SUM(F166:F169)</f>
        <v>5492.168764727553</v>
      </c>
      <c r="G171" s="87">
        <f t="shared" si="229"/>
        <v>5751.8090615152023</v>
      </c>
      <c r="H171" s="87">
        <f t="shared" si="229"/>
        <v>6033.8767385243791</v>
      </c>
      <c r="I171" s="87">
        <f>SUM(I166:I169)</f>
        <v>6336.3524274475621</v>
      </c>
      <c r="J171" s="87">
        <f t="shared" ref="J171:N171" si="230">SUM(J166:J169)</f>
        <v>6655.4202091152092</v>
      </c>
      <c r="K171" s="87">
        <f t="shared" si="230"/>
        <v>6984.365701864609</v>
      </c>
      <c r="L171" s="87">
        <f t="shared" si="230"/>
        <v>7311.7738085565452</v>
      </c>
      <c r="M171" s="87">
        <f t="shared" si="230"/>
        <v>7618.4875215926922</v>
      </c>
      <c r="N171" s="87">
        <f t="shared" si="230"/>
        <v>7872.2723940317546</v>
      </c>
    </row>
    <row r="172" spans="2:18" x14ac:dyDescent="0.3">
      <c r="B172" s="88" t="s">
        <v>354</v>
      </c>
      <c r="C172" s="88"/>
      <c r="D172" s="88"/>
      <c r="E172" s="89"/>
      <c r="F172" s="89"/>
      <c r="G172" s="89"/>
      <c r="H172" s="89"/>
      <c r="N172" s="90">
        <f>R168</f>
        <v>643632.26210472547</v>
      </c>
    </row>
    <row r="173" spans="2:18" x14ac:dyDescent="0.3">
      <c r="E173" s="29"/>
      <c r="F173" s="29"/>
      <c r="G173" s="29"/>
      <c r="H173" s="29"/>
      <c r="I173" s="29"/>
    </row>
    <row r="174" spans="2:18" x14ac:dyDescent="0.3">
      <c r="B174" s="10" t="s">
        <v>355</v>
      </c>
      <c r="C174" s="10"/>
      <c r="D174" s="10"/>
      <c r="E174" s="91">
        <f>1/(1+$C$156)^E161</f>
        <v>0.92719310629839458</v>
      </c>
      <c r="F174" s="91">
        <f t="shared" ref="F174:N174" si="231">1/(1+$C$156)^F161</f>
        <v>0.85968705636726606</v>
      </c>
      <c r="G174" s="91">
        <f t="shared" si="231"/>
        <v>0.79709591223768839</v>
      </c>
      <c r="H174" s="91">
        <f t="shared" si="231"/>
        <v>0.73906183488541488</v>
      </c>
      <c r="I174" s="91">
        <f t="shared" si="231"/>
        <v>0.68525303843399898</v>
      </c>
      <c r="J174" s="91">
        <f t="shared" si="231"/>
        <v>0.63536189330603265</v>
      </c>
      <c r="K174" s="91">
        <f t="shared" si="231"/>
        <v>0.58910316747804958</v>
      </c>
      <c r="L174" s="91">
        <f t="shared" si="231"/>
        <v>0.54621239578419623</v>
      </c>
      <c r="M174" s="91">
        <f t="shared" si="231"/>
        <v>0.50644436794583703</v>
      </c>
      <c r="N174" s="91">
        <f t="shared" si="231"/>
        <v>0.46957172668302771</v>
      </c>
    </row>
    <row r="175" spans="2:18" x14ac:dyDescent="0.3">
      <c r="E175" s="29"/>
      <c r="F175" s="29"/>
      <c r="G175" s="29"/>
      <c r="H175" s="29"/>
      <c r="I175" s="29"/>
    </row>
    <row r="176" spans="2:18" x14ac:dyDescent="0.3">
      <c r="B176" s="1" t="s">
        <v>356</v>
      </c>
      <c r="C176" s="1"/>
      <c r="D176" s="1"/>
      <c r="E176" s="84">
        <f>E174*E171</f>
        <v>5570.4564739439929</v>
      </c>
      <c r="F176" s="84">
        <f t="shared" ref="F176:H176" si="232">F174*F171</f>
        <v>4721.5463984208736</v>
      </c>
      <c r="G176" s="84">
        <f t="shared" si="232"/>
        <v>4584.7434909054627</v>
      </c>
      <c r="H176" s="84">
        <f t="shared" si="232"/>
        <v>4459.4080138462505</v>
      </c>
      <c r="I176" s="84">
        <f>I174*I171</f>
        <v>4342.0047534970872</v>
      </c>
      <c r="J176" s="84">
        <f t="shared" ref="J176:N176" si="233">J174*J171</f>
        <v>4228.6003848106711</v>
      </c>
      <c r="K176" s="84">
        <f t="shared" si="233"/>
        <v>4114.511957793492</v>
      </c>
      <c r="L176" s="84">
        <f t="shared" si="233"/>
        <v>3993.7814894038074</v>
      </c>
      <c r="M176" s="84">
        <f t="shared" si="233"/>
        <v>3858.3400975762574</v>
      </c>
      <c r="N176" s="84">
        <f t="shared" si="233"/>
        <v>3696.5965409846235</v>
      </c>
    </row>
    <row r="177" spans="2:14" x14ac:dyDescent="0.3">
      <c r="B177" s="88" t="s">
        <v>456</v>
      </c>
      <c r="C177" s="88"/>
      <c r="D177" s="88"/>
      <c r="E177" s="89"/>
      <c r="F177" s="89"/>
      <c r="G177" s="89"/>
      <c r="H177" s="89"/>
      <c r="J177" s="44"/>
      <c r="N177" s="90">
        <f>N174*N172</f>
        <v>302231.51266541902</v>
      </c>
    </row>
    <row r="179" spans="2:14" x14ac:dyDescent="0.3">
      <c r="B179" s="37" t="s">
        <v>359</v>
      </c>
      <c r="C179" s="38"/>
      <c r="E179" s="94" t="s">
        <v>360</v>
      </c>
      <c r="F179" s="93"/>
      <c r="G179" s="93"/>
      <c r="H179" s="93"/>
      <c r="J179" s="37" t="s">
        <v>361</v>
      </c>
      <c r="K179" s="93"/>
      <c r="L179" s="93"/>
      <c r="M179" s="93"/>
    </row>
    <row r="180" spans="2:14" x14ac:dyDescent="0.3">
      <c r="E180" s="29"/>
      <c r="F180" s="29"/>
      <c r="G180" s="29"/>
      <c r="H180" s="29"/>
      <c r="J180" s="29"/>
      <c r="K180" s="29"/>
      <c r="L180" s="29"/>
      <c r="M180" s="29"/>
    </row>
    <row r="181" spans="2:14" x14ac:dyDescent="0.3">
      <c r="B181" t="s">
        <v>362</v>
      </c>
      <c r="C181" s="44">
        <f>E176+F176+G176+H176+I176+N177+J176+K176+L176+M176+N176</f>
        <v>345801.50226660154</v>
      </c>
      <c r="E181" s="29" t="s">
        <v>271</v>
      </c>
      <c r="F181" s="29"/>
      <c r="G181" s="29"/>
      <c r="H181" s="29">
        <f>'Company Valuation'!F9</f>
        <v>264590</v>
      </c>
      <c r="J181" s="29" t="s">
        <v>363</v>
      </c>
      <c r="K181" s="29"/>
      <c r="L181" s="29"/>
      <c r="M181" s="29">
        <f>H188</f>
        <v>2640</v>
      </c>
    </row>
    <row r="182" spans="2:14" x14ac:dyDescent="0.3">
      <c r="B182" t="s">
        <v>458</v>
      </c>
      <c r="C182" s="44">
        <f>-I90</f>
        <v>-643.39</v>
      </c>
      <c r="E182" t="s">
        <v>458</v>
      </c>
      <c r="H182" s="44">
        <f>C182</f>
        <v>-643.39</v>
      </c>
      <c r="J182" s="29"/>
      <c r="K182" s="29"/>
      <c r="L182" s="29"/>
      <c r="M182" s="29"/>
    </row>
    <row r="183" spans="2:14" x14ac:dyDescent="0.3">
      <c r="B183" t="s">
        <v>364</v>
      </c>
      <c r="C183" s="44">
        <f>I61+I62+I70</f>
        <v>11762.269999999999</v>
      </c>
      <c r="E183" s="29" t="s">
        <v>365</v>
      </c>
      <c r="F183" s="29"/>
      <c r="G183" s="29"/>
      <c r="H183" s="29">
        <f>-C184</f>
        <v>3928.93</v>
      </c>
      <c r="J183" s="29" t="s">
        <v>366</v>
      </c>
      <c r="K183" s="29"/>
      <c r="L183" s="29"/>
      <c r="M183" s="29">
        <f>C188</f>
        <v>3522.0432895567787</v>
      </c>
    </row>
    <row r="184" spans="2:14" x14ac:dyDescent="0.3">
      <c r="B184" t="s">
        <v>367</v>
      </c>
      <c r="C184" s="44">
        <f>-I145</f>
        <v>-3928.93</v>
      </c>
      <c r="E184" s="29" t="s">
        <v>368</v>
      </c>
      <c r="F184" s="29"/>
      <c r="G184" s="29"/>
      <c r="H184" s="29">
        <f>-C183</f>
        <v>-11762.269999999999</v>
      </c>
      <c r="J184" s="29"/>
      <c r="K184" s="29"/>
      <c r="L184" s="29"/>
      <c r="M184" s="29"/>
    </row>
    <row r="185" spans="2:14" x14ac:dyDescent="0.3">
      <c r="E185" s="29"/>
      <c r="F185" s="29"/>
      <c r="G185" s="29"/>
      <c r="H185" s="29"/>
      <c r="J185" s="29" t="s">
        <v>376</v>
      </c>
      <c r="K185" s="29"/>
      <c r="L185" s="29"/>
      <c r="M185" s="95">
        <f>M183/M181-1</f>
        <v>0.33410730665029509</v>
      </c>
    </row>
    <row r="186" spans="2:14" x14ac:dyDescent="0.3">
      <c r="B186" t="s">
        <v>307</v>
      </c>
      <c r="C186" s="96">
        <f>SUM(C181:C184)</f>
        <v>352991.45226660155</v>
      </c>
      <c r="E186" s="29" t="s">
        <v>362</v>
      </c>
      <c r="F186" s="29"/>
      <c r="G186" s="29"/>
      <c r="H186" s="97">
        <f>SUM(H181:H184)</f>
        <v>256113.27</v>
      </c>
      <c r="J186" s="29"/>
      <c r="K186" s="29"/>
      <c r="L186" s="29"/>
      <c r="M186" s="29"/>
    </row>
    <row r="187" spans="2:14" x14ac:dyDescent="0.3">
      <c r="C187" s="96"/>
      <c r="E187" s="29"/>
      <c r="F187" s="29"/>
      <c r="G187" s="29"/>
      <c r="H187" s="29"/>
      <c r="J187" s="29"/>
      <c r="K187" s="29"/>
      <c r="L187" s="29"/>
      <c r="M187" s="29"/>
    </row>
    <row r="188" spans="2:14" x14ac:dyDescent="0.3">
      <c r="B188" s="1" t="s">
        <v>369</v>
      </c>
      <c r="C188" s="98">
        <f>C186/C157</f>
        <v>3522.0432895567787</v>
      </c>
      <c r="E188" s="1" t="s">
        <v>369</v>
      </c>
      <c r="F188" s="84"/>
      <c r="G188" s="84"/>
      <c r="H188" s="98">
        <f>H181/C157</f>
        <v>2640</v>
      </c>
      <c r="J188" s="29"/>
      <c r="K188" s="29"/>
      <c r="L188" s="29"/>
      <c r="M188" s="29"/>
    </row>
    <row r="190" spans="2:14" ht="18" x14ac:dyDescent="0.35">
      <c r="B190" s="20" t="s">
        <v>370</v>
      </c>
      <c r="C190" s="3"/>
      <c r="D190" s="3"/>
      <c r="E190" s="3"/>
      <c r="F190" s="3"/>
      <c r="G190" s="3"/>
      <c r="H190" s="3"/>
      <c r="I190" s="3"/>
      <c r="J190" s="3"/>
      <c r="K190" s="3"/>
      <c r="L190" s="3"/>
      <c r="M190" s="3"/>
      <c r="N190" s="3"/>
    </row>
    <row r="191" spans="2:14" x14ac:dyDescent="0.3">
      <c r="E191" s="29"/>
      <c r="F191" s="29"/>
      <c r="G191" s="29"/>
      <c r="H191" s="29"/>
      <c r="I191" s="29"/>
      <c r="J191" s="29"/>
      <c r="K191" s="29"/>
      <c r="L191" s="29"/>
      <c r="M191" s="29"/>
      <c r="N191" s="29"/>
    </row>
    <row r="192" spans="2:14" x14ac:dyDescent="0.3">
      <c r="D192" s="162" t="s">
        <v>371</v>
      </c>
      <c r="E192" s="162"/>
      <c r="F192" s="162"/>
      <c r="G192" s="162"/>
      <c r="H192" s="162"/>
      <c r="I192" s="162"/>
      <c r="J192" s="162"/>
      <c r="K192" s="29"/>
      <c r="L192" s="29"/>
      <c r="M192" s="29"/>
      <c r="N192" s="29"/>
    </row>
    <row r="193" spans="4:14" x14ac:dyDescent="0.3">
      <c r="E193" s="29"/>
      <c r="F193" s="29"/>
      <c r="G193" s="29"/>
      <c r="H193" s="29"/>
      <c r="I193" s="29"/>
      <c r="J193" s="29"/>
      <c r="K193" s="29"/>
      <c r="L193" s="29"/>
      <c r="M193" s="29"/>
      <c r="N193" s="29"/>
    </row>
    <row r="194" spans="4:14" x14ac:dyDescent="0.3">
      <c r="F194" s="177" t="s">
        <v>372</v>
      </c>
      <c r="G194" s="177"/>
      <c r="H194" s="177"/>
      <c r="I194" s="177"/>
      <c r="J194" s="177"/>
      <c r="K194" s="29"/>
      <c r="L194" s="29"/>
      <c r="M194" s="29"/>
      <c r="N194" s="29"/>
    </row>
    <row r="195" spans="4:14" x14ac:dyDescent="0.3">
      <c r="E195" s="99">
        <f>C188</f>
        <v>3522.0432895567787</v>
      </c>
      <c r="F195" s="100">
        <v>7</v>
      </c>
      <c r="G195" s="100">
        <v>14</v>
      </c>
      <c r="H195" s="100">
        <v>21.17</v>
      </c>
      <c r="I195" s="100">
        <v>28</v>
      </c>
      <c r="J195" s="100">
        <v>35</v>
      </c>
      <c r="K195" s="100"/>
      <c r="L195" s="29"/>
      <c r="M195" s="29"/>
      <c r="N195" s="29"/>
    </row>
    <row r="196" spans="4:14" x14ac:dyDescent="0.3">
      <c r="D196" s="178" t="s">
        <v>373</v>
      </c>
      <c r="E196" s="101">
        <v>0.03</v>
      </c>
      <c r="F196" s="29">
        <f t="dataTable" ref="F196:J200" dt2D="1" dtr="1" r1="C154" r2="C156" ca="1"/>
        <v>187.55630610474662</v>
      </c>
      <c r="G196" s="29">
        <v>528.12305725390036</v>
      </c>
      <c r="H196" s="29">
        <v>876.96071521667659</v>
      </c>
      <c r="I196" s="29">
        <v>1209.2565595522083</v>
      </c>
      <c r="J196" s="29">
        <v>1549.8233107013614</v>
      </c>
      <c r="K196" s="29"/>
      <c r="L196" s="29"/>
      <c r="M196" s="29"/>
      <c r="N196" s="29"/>
    </row>
    <row r="197" spans="4:14" x14ac:dyDescent="0.3">
      <c r="D197" s="178"/>
      <c r="E197" s="101">
        <v>0.05</v>
      </c>
      <c r="F197" s="44">
        <v>-436.07751947302376</v>
      </c>
      <c r="G197" s="102">
        <v>-155.09357637116173</v>
      </c>
      <c r="H197" s="102">
        <v>132.71426249174556</v>
      </c>
      <c r="I197" s="102">
        <v>406.87430983256223</v>
      </c>
      <c r="J197" s="44">
        <v>687.85825293442429</v>
      </c>
      <c r="K197" s="29"/>
      <c r="L197" s="29"/>
      <c r="M197" s="29"/>
      <c r="N197" s="29"/>
    </row>
    <row r="198" spans="4:14" x14ac:dyDescent="0.3">
      <c r="D198" s="178"/>
      <c r="E198" s="103">
        <v>7.85E-2</v>
      </c>
      <c r="F198" s="44">
        <v>3043.4946960071911</v>
      </c>
      <c r="G198" s="102">
        <v>3258.4622916737007</v>
      </c>
      <c r="H198" s="138">
        <v>3478.6505289492552</v>
      </c>
      <c r="I198" s="102">
        <v>3688.3974830067204</v>
      </c>
      <c r="J198" s="44">
        <v>3903.365078673231</v>
      </c>
      <c r="K198" s="29"/>
      <c r="L198" s="29"/>
      <c r="M198" s="29"/>
      <c r="N198" s="29"/>
    </row>
    <row r="199" spans="4:14" x14ac:dyDescent="0.3">
      <c r="D199" s="178"/>
      <c r="E199" s="101">
        <v>0.1</v>
      </c>
      <c r="F199" s="29">
        <v>1181.3308793178057</v>
      </c>
      <c r="G199" s="102">
        <v>1357.7914347392239</v>
      </c>
      <c r="H199" s="102">
        <v>1538.5374607923043</v>
      </c>
      <c r="I199" s="102">
        <v>1710.7125455820587</v>
      </c>
      <c r="J199" s="29">
        <v>1887.1731010034764</v>
      </c>
      <c r="K199" s="29"/>
      <c r="L199" s="29"/>
      <c r="M199" s="29"/>
      <c r="N199" s="29"/>
    </row>
    <row r="200" spans="4:14" x14ac:dyDescent="0.3">
      <c r="D200" s="178"/>
      <c r="E200" s="101">
        <v>0.13</v>
      </c>
      <c r="F200" s="29">
        <v>757.27442409265132</v>
      </c>
      <c r="G200" s="29">
        <v>892.10551817791202</v>
      </c>
      <c r="H200" s="29">
        <v>1030.2110816909576</v>
      </c>
      <c r="I200" s="29">
        <v>1161.7677063484339</v>
      </c>
      <c r="J200" s="29">
        <v>1296.5988004336948</v>
      </c>
      <c r="K200" s="29"/>
      <c r="L200" s="29"/>
      <c r="M200" s="29"/>
      <c r="N200" s="29"/>
    </row>
    <row r="201" spans="4:14" x14ac:dyDescent="0.3">
      <c r="F201" s="29"/>
      <c r="G201" s="29"/>
      <c r="H201" s="29"/>
      <c r="I201" s="29"/>
      <c r="J201" s="29"/>
      <c r="K201" s="29"/>
      <c r="L201" s="29"/>
      <c r="M201" s="29"/>
      <c r="N201" s="29"/>
    </row>
    <row r="202" spans="4:14" x14ac:dyDescent="0.3">
      <c r="F202" s="29"/>
      <c r="G202" s="29"/>
      <c r="H202" s="29"/>
      <c r="I202" s="29"/>
      <c r="J202" s="29"/>
      <c r="K202" s="29"/>
      <c r="L202" s="29"/>
      <c r="M202" s="29"/>
      <c r="N202" s="29"/>
    </row>
    <row r="203" spans="4:14" x14ac:dyDescent="0.3">
      <c r="E203" s="29"/>
      <c r="F203" s="177" t="s">
        <v>342</v>
      </c>
      <c r="G203" s="177"/>
      <c r="H203" s="177"/>
      <c r="I203" s="177"/>
      <c r="J203" s="177"/>
      <c r="K203" s="29"/>
      <c r="L203" s="29"/>
      <c r="M203" s="29"/>
      <c r="N203" s="29"/>
    </row>
    <row r="204" spans="4:14" x14ac:dyDescent="0.3">
      <c r="E204" s="99">
        <f>C188</f>
        <v>3522.0432895567787</v>
      </c>
      <c r="F204" s="95">
        <v>3.2000000000000001E-2</v>
      </c>
      <c r="G204" s="95">
        <v>5.1999999999999998E-2</v>
      </c>
      <c r="H204" s="95">
        <v>7.0000000000000007E-2</v>
      </c>
      <c r="I204" s="95">
        <v>0.09</v>
      </c>
      <c r="J204" s="95">
        <v>0.11</v>
      </c>
      <c r="K204" s="29"/>
      <c r="L204" s="29"/>
      <c r="M204" s="29"/>
      <c r="N204" s="29"/>
    </row>
    <row r="205" spans="4:14" x14ac:dyDescent="0.3">
      <c r="D205" s="178" t="s">
        <v>373</v>
      </c>
      <c r="E205" s="101">
        <v>0.03</v>
      </c>
      <c r="F205" s="29">
        <f t="dataTable" ref="F205:J209" dt2D="1" dtr="1" r1="C155" r2="C156"/>
        <v>-13340.272521706695</v>
      </c>
      <c r="G205" s="29">
        <v>341.51730637317155</v>
      </c>
      <c r="H205" s="29">
        <v>957.19784863676671</v>
      </c>
      <c r="I205" s="29">
        <v>1208.0306621515642</v>
      </c>
      <c r="J205" s="29">
        <v>1333.447068908963</v>
      </c>
      <c r="K205" s="29"/>
      <c r="L205" s="29"/>
      <c r="M205" s="29"/>
      <c r="N205" s="29"/>
    </row>
    <row r="206" spans="4:14" x14ac:dyDescent="0.3">
      <c r="D206" s="178"/>
      <c r="E206" s="101">
        <v>0.05</v>
      </c>
      <c r="F206" s="29">
        <v>2871.1695168690189</v>
      </c>
      <c r="G206" s="102">
        <v>-11193.334492345026</v>
      </c>
      <c r="H206" s="102">
        <v>198.91375511835605</v>
      </c>
      <c r="I206" s="102">
        <v>831.81643553298636</v>
      </c>
      <c r="J206" s="29">
        <v>1042.7839956711964</v>
      </c>
      <c r="K206" s="29"/>
      <c r="L206" s="29"/>
      <c r="M206" s="29"/>
      <c r="N206" s="29"/>
    </row>
    <row r="207" spans="4:14" x14ac:dyDescent="0.3">
      <c r="D207" s="178"/>
      <c r="E207" s="103">
        <v>7.8523999999999997E-2</v>
      </c>
      <c r="F207" s="29">
        <v>1616.1581640675738</v>
      </c>
      <c r="G207" s="102">
        <v>1938.52193218701</v>
      </c>
      <c r="H207" s="138">
        <v>3522.0375062355561</v>
      </c>
      <c r="I207" s="102">
        <v>-544.53302608925492</v>
      </c>
      <c r="J207" s="29">
        <v>556.73292948123242</v>
      </c>
      <c r="K207" s="29"/>
      <c r="L207" s="29"/>
      <c r="M207" s="29"/>
      <c r="N207" s="29"/>
    </row>
    <row r="208" spans="4:14" x14ac:dyDescent="0.3">
      <c r="D208" s="178"/>
      <c r="E208" s="101">
        <v>0.1</v>
      </c>
      <c r="F208" s="29">
        <v>1269.8555842090561</v>
      </c>
      <c r="G208" s="102">
        <v>1371.9134064900645</v>
      </c>
      <c r="H208" s="102">
        <v>1580.1113639433211</v>
      </c>
      <c r="I208" s="102">
        <v>2690.5004703606924</v>
      </c>
      <c r="J208" s="29">
        <v>-640.66684889142482</v>
      </c>
      <c r="K208" s="29"/>
      <c r="L208" s="29"/>
      <c r="M208" s="29"/>
      <c r="N208" s="29"/>
    </row>
    <row r="209" spans="4:14" x14ac:dyDescent="0.3">
      <c r="D209" s="178"/>
      <c r="E209" s="101">
        <v>0.13</v>
      </c>
      <c r="F209" s="29">
        <v>977.48799033272587</v>
      </c>
      <c r="G209" s="29">
        <v>1011.6941204847699</v>
      </c>
      <c r="H209" s="29">
        <v>1061.9771318082746</v>
      </c>
      <c r="I209" s="29">
        <v>1170.923656342535</v>
      </c>
      <c r="J209" s="29">
        <v>1497.7632299453157</v>
      </c>
      <c r="K209" s="29"/>
      <c r="L209" s="29"/>
      <c r="M209" s="29"/>
      <c r="N209" s="29"/>
    </row>
    <row r="210" spans="4:14" x14ac:dyDescent="0.3">
      <c r="E210" s="29"/>
      <c r="F210" s="29"/>
      <c r="G210" s="29"/>
      <c r="H210" s="29"/>
      <c r="I210" s="29"/>
      <c r="J210" s="29"/>
      <c r="K210" s="29"/>
      <c r="L210" s="29"/>
      <c r="M210" s="29"/>
      <c r="N210" s="29"/>
    </row>
    <row r="211" spans="4:14" x14ac:dyDescent="0.3">
      <c r="E211" s="29"/>
      <c r="F211" s="29"/>
      <c r="G211" s="29"/>
      <c r="H211" s="29"/>
      <c r="I211" s="29"/>
      <c r="J211" s="29"/>
      <c r="K211" s="29"/>
      <c r="L211" s="29"/>
      <c r="M211" s="29"/>
      <c r="N211" s="29"/>
    </row>
  </sheetData>
  <mergeCells count="8">
    <mergeCell ref="O3:S3"/>
    <mergeCell ref="F203:J203"/>
    <mergeCell ref="D205:D209"/>
    <mergeCell ref="E3:I3"/>
    <mergeCell ref="J3:N3"/>
    <mergeCell ref="D192:J192"/>
    <mergeCell ref="F194:J194"/>
    <mergeCell ref="D196:D200"/>
  </mergeCells>
  <pageMargins left="0.7" right="0.7" top="0.75" bottom="0.75" header="0.3" footer="0.3"/>
  <pageSetup orientation="portrait" r:id="rId1"/>
  <ignoredErrors>
    <ignoredError sqref="E77:E78 E82 F77:I78 F82:I82 E108 E110 E115 F108:I108 F110:I110 F115:I116" formulaRange="1"/>
  </ignoredErrors>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anchor moveWithCells="1">
                  <from>
                    <xdr:col>1</xdr:col>
                    <xdr:colOff>3657600</xdr:colOff>
                    <xdr:row>8</xdr:row>
                    <xdr:rowOff>160020</xdr:rowOff>
                  </from>
                  <to>
                    <xdr:col>2</xdr:col>
                    <xdr:colOff>601980</xdr:colOff>
                    <xdr:row>9</xdr:row>
                    <xdr:rowOff>175260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A0E84-6228-454F-8E71-3762B6466C55}">
  <dimension ref="B2:V34"/>
  <sheetViews>
    <sheetView showGridLines="0" zoomScale="58" zoomScaleNormal="58" workbookViewId="0">
      <selection activeCell="H39" sqref="H39"/>
    </sheetView>
  </sheetViews>
  <sheetFormatPr defaultRowHeight="14.4" x14ac:dyDescent="0.3"/>
  <cols>
    <col min="5" max="5" width="9.5546875" bestFit="1" customWidth="1"/>
    <col min="20" max="20" width="3.21875" customWidth="1"/>
    <col min="21" max="21" width="3.6640625" customWidth="1"/>
  </cols>
  <sheetData>
    <row r="2" spans="2:22" ht="28.8" x14ac:dyDescent="0.55000000000000004">
      <c r="B2" s="16" t="s">
        <v>160</v>
      </c>
      <c r="C2" s="3"/>
      <c r="D2" s="3"/>
      <c r="E2" s="3"/>
      <c r="F2" s="3"/>
      <c r="G2" s="3"/>
      <c r="H2" s="3"/>
      <c r="I2" s="3"/>
      <c r="J2" s="3"/>
      <c r="K2" s="3"/>
      <c r="L2" s="3"/>
      <c r="M2" s="3"/>
      <c r="N2" s="3"/>
      <c r="O2" s="3"/>
      <c r="P2" s="3"/>
      <c r="Q2" s="3"/>
      <c r="R2" s="3"/>
      <c r="S2" s="3"/>
      <c r="T2" s="3"/>
    </row>
    <row r="3" spans="2:22" x14ac:dyDescent="0.3">
      <c r="B3" s="17" t="s">
        <v>161</v>
      </c>
      <c r="C3" s="3"/>
      <c r="D3" s="3"/>
      <c r="E3" s="162"/>
      <c r="F3" s="162"/>
      <c r="G3" s="162"/>
      <c r="H3" s="162"/>
      <c r="I3" s="162"/>
      <c r="J3" s="163"/>
      <c r="K3" s="163"/>
      <c r="L3" s="163"/>
      <c r="M3" s="163"/>
      <c r="N3" s="163"/>
      <c r="O3" s="34"/>
      <c r="P3" s="34"/>
      <c r="Q3" s="34"/>
      <c r="R3" s="34"/>
      <c r="S3" s="34"/>
      <c r="T3" s="34"/>
    </row>
    <row r="4" spans="2:22" x14ac:dyDescent="0.3">
      <c r="B4" s="2" t="s">
        <v>454</v>
      </c>
      <c r="C4" s="3"/>
      <c r="D4" s="3"/>
      <c r="E4" s="18">
        <v>2022</v>
      </c>
      <c r="F4" s="18">
        <f>E4+1</f>
        <v>2023</v>
      </c>
      <c r="G4" s="18">
        <f t="shared" ref="G4:I4" si="0">F4+1</f>
        <v>2024</v>
      </c>
      <c r="H4" s="18">
        <f t="shared" si="0"/>
        <v>2025</v>
      </c>
      <c r="I4" s="18">
        <f t="shared" si="0"/>
        <v>2026</v>
      </c>
      <c r="J4" s="19">
        <f>I4+1</f>
        <v>2027</v>
      </c>
      <c r="K4" s="19">
        <f t="shared" ref="K4:N4" si="1">J4+1</f>
        <v>2028</v>
      </c>
      <c r="L4" s="19">
        <f t="shared" si="1"/>
        <v>2029</v>
      </c>
      <c r="M4" s="19">
        <f t="shared" si="1"/>
        <v>2030</v>
      </c>
      <c r="N4" s="19">
        <f t="shared" si="1"/>
        <v>2031</v>
      </c>
      <c r="O4" s="19">
        <f t="shared" ref="O4" si="2">N4+1</f>
        <v>2032</v>
      </c>
      <c r="P4" s="19">
        <f t="shared" ref="P4" si="3">O4+1</f>
        <v>2033</v>
      </c>
      <c r="Q4" s="19">
        <f t="shared" ref="Q4" si="4">P4+1</f>
        <v>2034</v>
      </c>
      <c r="R4" s="19">
        <f t="shared" ref="R4" si="5">Q4+1</f>
        <v>2035</v>
      </c>
      <c r="S4" s="19">
        <f t="shared" ref="S4" si="6">R4+1</f>
        <v>2036</v>
      </c>
      <c r="T4" s="19"/>
      <c r="V4" s="1" t="s">
        <v>453</v>
      </c>
    </row>
    <row r="5" spans="2:22" x14ac:dyDescent="0.3">
      <c r="J5" s="88"/>
      <c r="K5" s="88"/>
      <c r="L5" s="88"/>
      <c r="M5" s="88"/>
      <c r="N5" s="88"/>
      <c r="O5" s="88"/>
      <c r="P5" s="88"/>
      <c r="Q5" s="88"/>
      <c r="R5" s="88"/>
      <c r="S5" s="88"/>
      <c r="T5" s="88"/>
    </row>
    <row r="6" spans="2:22" x14ac:dyDescent="0.3">
      <c r="B6" s="124" t="s">
        <v>409</v>
      </c>
      <c r="C6" s="125"/>
      <c r="D6" s="125"/>
      <c r="E6" s="125"/>
      <c r="F6" s="125"/>
      <c r="G6" s="125"/>
      <c r="H6" s="125"/>
      <c r="I6" s="125"/>
      <c r="J6" s="125"/>
      <c r="K6" s="125"/>
      <c r="L6" s="125"/>
      <c r="M6" s="125"/>
      <c r="N6" s="125"/>
      <c r="O6" s="125"/>
      <c r="P6" s="125"/>
      <c r="Q6" s="125"/>
      <c r="R6" s="125"/>
      <c r="S6" s="125"/>
      <c r="T6" s="125"/>
    </row>
    <row r="7" spans="2:22" x14ac:dyDescent="0.3">
      <c r="B7" s="114" t="s">
        <v>410</v>
      </c>
      <c r="E7" s="39">
        <f>Model!E33/Model!E30</f>
        <v>0.37113590879851333</v>
      </c>
      <c r="F7" s="39">
        <f>Model!F33/Model!F30</f>
        <v>0.38656523795260977</v>
      </c>
      <c r="G7" s="39">
        <f>Model!G33/Model!G30</f>
        <v>0.43399456764426714</v>
      </c>
      <c r="H7" s="39">
        <f>Model!H33/Model!H30</f>
        <v>0.42440869684730742</v>
      </c>
      <c r="I7" s="39">
        <f>Model!I33/Model!I30</f>
        <v>0.43789235135121468</v>
      </c>
      <c r="J7" s="118">
        <f>Model!J33/Model!J30</f>
        <v>0.41079935251878247</v>
      </c>
      <c r="K7" s="118">
        <f>Model!K33/Model!K30</f>
        <v>0.41079935251878241</v>
      </c>
      <c r="L7" s="118">
        <f>Model!L33/Model!L30</f>
        <v>0.41079935251878241</v>
      </c>
      <c r="M7" s="118">
        <f>Model!M33/Model!M30</f>
        <v>0.41079935251878241</v>
      </c>
      <c r="N7" s="118">
        <f>Model!N33/Model!N30</f>
        <v>0.41079935251878241</v>
      </c>
      <c r="O7" s="118">
        <f>Model!O33/Model!O30</f>
        <v>0.41079935251878241</v>
      </c>
      <c r="P7" s="118">
        <f>Model!P33/Model!P30</f>
        <v>0.41079935251878247</v>
      </c>
      <c r="Q7" s="118">
        <f>Model!Q33/Model!Q30</f>
        <v>0.41079935251878241</v>
      </c>
      <c r="R7" s="118">
        <f>Model!R33/Model!R30</f>
        <v>0.41079935251878247</v>
      </c>
      <c r="S7" s="118">
        <f>Model!S33/Model!S30</f>
        <v>0.41079935251878241</v>
      </c>
      <c r="T7" s="118"/>
      <c r="V7" t="s">
        <v>433</v>
      </c>
    </row>
    <row r="8" spans="2:22" x14ac:dyDescent="0.3">
      <c r="B8" s="114" t="s">
        <v>411</v>
      </c>
      <c r="E8" s="39">
        <f>Model!E39/Model!E30</f>
        <v>0.16506524798909186</v>
      </c>
      <c r="F8" s="39">
        <f>Model!F39/Model!F30</f>
        <v>0.18150466574597568</v>
      </c>
      <c r="G8" s="39">
        <f>Model!G39/Model!G30</f>
        <v>0.21369313134654067</v>
      </c>
      <c r="H8" s="39">
        <f>Model!H39/Model!H30</f>
        <v>0.17714496888716397</v>
      </c>
      <c r="I8" s="39">
        <f>Model!I39/Model!I30</f>
        <v>0.18817464479363216</v>
      </c>
      <c r="J8" s="118">
        <f>Model!J39/Model!J30</f>
        <v>0.1851165317524808</v>
      </c>
      <c r="K8" s="118">
        <f>Model!K39/Model!K30</f>
        <v>0.1851165317524808</v>
      </c>
      <c r="L8" s="118">
        <f>Model!L39/Model!L30</f>
        <v>0.1851165317524808</v>
      </c>
      <c r="M8" s="118">
        <f>Model!M39/Model!M30</f>
        <v>0.18511653175248077</v>
      </c>
      <c r="N8" s="118">
        <f>Model!N39/Model!N30</f>
        <v>0.18511653175248086</v>
      </c>
      <c r="O8" s="118">
        <f>Model!O39/Model!O30</f>
        <v>0.1851165317524808</v>
      </c>
      <c r="P8" s="118">
        <f>Model!P39/Model!P30</f>
        <v>0.18511653175248083</v>
      </c>
      <c r="Q8" s="118">
        <f>Model!Q39/Model!Q30</f>
        <v>0.1851165317524808</v>
      </c>
      <c r="R8" s="118">
        <f>Model!R39/Model!R30</f>
        <v>0.18511653175248083</v>
      </c>
      <c r="S8" s="118">
        <f>Model!S39/Model!S30</f>
        <v>0.18511653175248077</v>
      </c>
      <c r="T8" s="118"/>
      <c r="V8" t="s">
        <v>434</v>
      </c>
    </row>
    <row r="9" spans="2:22" x14ac:dyDescent="0.3">
      <c r="B9" s="114" t="s">
        <v>412</v>
      </c>
      <c r="E9" s="39">
        <f>Model!E42/Model!E30</f>
        <v>0.13701287366053996</v>
      </c>
      <c r="F9" s="39">
        <f>Model!F42/Model!F30</f>
        <v>0.15662629292760299</v>
      </c>
      <c r="G9" s="39">
        <f>Model!G42/Model!G30</f>
        <v>0.18966139480424271</v>
      </c>
      <c r="H9" s="39">
        <f>Model!H42/Model!H30</f>
        <v>0.14687447095791212</v>
      </c>
      <c r="I9" s="39">
        <f>Model!I42/Model!I30</f>
        <v>0.15364041913761253</v>
      </c>
      <c r="J9" s="118">
        <f>Model!J42/Model!J30</f>
        <v>0.15539662663788628</v>
      </c>
      <c r="K9" s="118">
        <f>Model!K42/Model!K30</f>
        <v>0.15863903615767641</v>
      </c>
      <c r="L9" s="118">
        <f>Model!L42/Model!L30</f>
        <v>0.16121581429915505</v>
      </c>
      <c r="M9" s="118">
        <f>Model!M42/Model!M30</f>
        <v>0.16320224201892225</v>
      </c>
      <c r="N9" s="118">
        <f>Model!N42/Model!N30</f>
        <v>0.16466046261529094</v>
      </c>
      <c r="O9" s="118">
        <f>Model!O42/Model!O30</f>
        <v>0.16563960758429547</v>
      </c>
      <c r="P9" s="118">
        <f>Model!P42/Model!P30</f>
        <v>0.16617548460129999</v>
      </c>
      <c r="Q9" s="118">
        <f>Model!Q42/Model!Q30</f>
        <v>0.16628960015483546</v>
      </c>
      <c r="R9" s="118">
        <f>Model!R42/Model!R30</f>
        <v>0.16598713573382062</v>
      </c>
      <c r="S9" s="118">
        <f>Model!S42/Model!S30</f>
        <v>0.16525320410672847</v>
      </c>
      <c r="T9" s="118"/>
      <c r="V9" t="s">
        <v>435</v>
      </c>
    </row>
    <row r="10" spans="2:22" x14ac:dyDescent="0.3">
      <c r="B10" s="114" t="s">
        <v>413</v>
      </c>
      <c r="E10" s="39">
        <f>Model!E50/Model!E30</f>
        <v>0.14390157408883728</v>
      </c>
      <c r="F10" s="39">
        <f>Model!F50/Model!F30</f>
        <v>0.16494817561402192</v>
      </c>
      <c r="G10" s="39">
        <f>Model!G50/Model!G30</f>
        <v>0.20701016742485426</v>
      </c>
      <c r="H10" s="39">
        <f>Model!H50/Model!H30</f>
        <v>0.15050808685993658</v>
      </c>
      <c r="I10" s="39">
        <f>Model!I50/Model!I30</f>
        <v>0.16871396156762375</v>
      </c>
      <c r="J10" s="118">
        <f>Model!J50/Model!J30</f>
        <v>0.16284215287331238</v>
      </c>
      <c r="K10" s="118">
        <f>Model!K50/Model!K30</f>
        <v>0.1667718996138105</v>
      </c>
      <c r="L10" s="118">
        <f>Model!L50/Model!L30</f>
        <v>0.17002672767829846</v>
      </c>
      <c r="M10" s="118">
        <f>Model!M50/Model!M30</f>
        <v>0.17267868546658158</v>
      </c>
      <c r="N10" s="118">
        <f>Model!N50/Model!N30</f>
        <v>0.17478699983087376</v>
      </c>
      <c r="O10" s="118">
        <f>Model!O50/Model!O30</f>
        <v>0.17639821311725506</v>
      </c>
      <c r="P10" s="118">
        <f>Model!P50/Model!P30</f>
        <v>0.17754587698133678</v>
      </c>
      <c r="Q10" s="118">
        <f>Model!Q50/Model!Q30</f>
        <v>0.17824957579809053</v>
      </c>
      <c r="R10" s="118">
        <f>Model!R50/Model!R30</f>
        <v>0.17851289893634681</v>
      </c>
      <c r="S10" s="118">
        <f>Model!S50/Model!S30</f>
        <v>0.17831968886778649</v>
      </c>
      <c r="T10" s="118"/>
      <c r="V10" t="s">
        <v>436</v>
      </c>
    </row>
    <row r="11" spans="2:22" x14ac:dyDescent="0.3">
      <c r="B11" s="114" t="s">
        <v>414</v>
      </c>
      <c r="E11" s="39">
        <f>-Model!E51/Model!E50</f>
        <v>0.26336765590822697</v>
      </c>
      <c r="F11" s="39">
        <f>-Model!F51/Model!F50</f>
        <v>0.26253201449155628</v>
      </c>
      <c r="G11" s="39">
        <f>-Model!G51/Model!G50</f>
        <v>0.24362221463110589</v>
      </c>
      <c r="H11" s="39">
        <f>-Model!H51/Model!H50</f>
        <v>0.27304348166887754</v>
      </c>
      <c r="I11" s="39">
        <f>-Model!I51/Model!I50</f>
        <v>0.26797136308516439</v>
      </c>
      <c r="J11" s="118">
        <f>-Model!J51/Model!J50</f>
        <v>0.2621073459569862</v>
      </c>
      <c r="K11" s="118">
        <f>-Model!K51/Model!K50</f>
        <v>0.2621073459569862</v>
      </c>
      <c r="L11" s="118">
        <f>-Model!L51/Model!L50</f>
        <v>0.2621073459569862</v>
      </c>
      <c r="M11" s="118">
        <f>-Model!M51/Model!M50</f>
        <v>0.2621073459569862</v>
      </c>
      <c r="N11" s="118">
        <f>-Model!N51/Model!N50</f>
        <v>0.2621073459569862</v>
      </c>
      <c r="O11" s="118">
        <f>-Model!O51/Model!O50</f>
        <v>0.2621073459569862</v>
      </c>
      <c r="P11" s="118">
        <f>-Model!P51/Model!P50</f>
        <v>0.2621073459569862</v>
      </c>
      <c r="Q11" s="118">
        <f>-Model!Q51/Model!Q50</f>
        <v>0.2621073459569862</v>
      </c>
      <c r="R11" s="118">
        <f>-Model!R51/Model!R50</f>
        <v>0.2621073459569862</v>
      </c>
      <c r="S11" s="118">
        <f>-Model!S51/Model!S50</f>
        <v>0.2621073459569862</v>
      </c>
      <c r="T11" s="118"/>
      <c r="V11" t="s">
        <v>437</v>
      </c>
    </row>
    <row r="12" spans="2:22" x14ac:dyDescent="0.3">
      <c r="B12" s="114" t="s">
        <v>415</v>
      </c>
      <c r="E12" s="39">
        <f>Model!E53/Model!E30</f>
        <v>0.10600255383955616</v>
      </c>
      <c r="F12" s="39">
        <f>Model!F53/Model!F30</f>
        <v>0.12164399878336575</v>
      </c>
      <c r="G12" s="39">
        <f>Model!G53/Model!G30</f>
        <v>0.15657789198565528</v>
      </c>
      <c r="H12" s="39">
        <f>Model!H53/Model!H30</f>
        <v>0.10941283480437766</v>
      </c>
      <c r="I12" s="39">
        <f>Model!I53/Model!I30</f>
        <v>0.12350345131484956</v>
      </c>
      <c r="J12" s="118">
        <f>Model!J53/Model!J30</f>
        <v>0.12016002837376664</v>
      </c>
      <c r="K12" s="118">
        <f>Model!K53/Model!K30</f>
        <v>0.12305975962582971</v>
      </c>
      <c r="L12" s="118">
        <f>Model!L53/Model!L30</f>
        <v>0.12546147334478841</v>
      </c>
      <c r="M12" s="118">
        <f>Model!M53/Model!M30</f>
        <v>0.12741833351559465</v>
      </c>
      <c r="N12" s="118">
        <f>Model!N53/Model!N30</f>
        <v>0.12897404319741926</v>
      </c>
      <c r="O12" s="118">
        <f>Model!O53/Model!O30</f>
        <v>0.13016294564553652</v>
      </c>
      <c r="P12" s="118">
        <f>Model!P53/Model!P30</f>
        <v>0.13100979838015303</v>
      </c>
      <c r="Q12" s="118">
        <f>Model!Q53/Model!Q30</f>
        <v>0.1315290525676944</v>
      </c>
      <c r="R12" s="118">
        <f>Model!R53/Model!R30</f>
        <v>0.13172335677705324</v>
      </c>
      <c r="S12" s="118">
        <f>Model!S53/Model!S30</f>
        <v>0.13158078848677543</v>
      </c>
      <c r="T12" s="118"/>
      <c r="V12" t="s">
        <v>438</v>
      </c>
    </row>
    <row r="13" spans="2:22" x14ac:dyDescent="0.3">
      <c r="B13" s="115"/>
      <c r="J13" s="88"/>
      <c r="K13" s="88"/>
      <c r="L13" s="88"/>
      <c r="M13" s="88"/>
      <c r="N13" s="88"/>
      <c r="O13" s="88"/>
      <c r="P13" s="88"/>
      <c r="Q13" s="88"/>
      <c r="R13" s="88"/>
      <c r="S13" s="88"/>
      <c r="T13" s="88"/>
    </row>
    <row r="14" spans="2:22" x14ac:dyDescent="0.3">
      <c r="B14" s="126" t="s">
        <v>416</v>
      </c>
      <c r="C14" s="125"/>
      <c r="D14" s="125"/>
      <c r="E14" s="125"/>
      <c r="F14" s="125"/>
      <c r="G14" s="125"/>
      <c r="H14" s="125"/>
      <c r="I14" s="125"/>
      <c r="J14" s="125"/>
      <c r="K14" s="125"/>
      <c r="L14" s="125"/>
      <c r="M14" s="125"/>
      <c r="N14" s="125"/>
      <c r="O14" s="125"/>
      <c r="P14" s="125"/>
      <c r="Q14" s="125"/>
      <c r="R14" s="125"/>
      <c r="S14" s="125"/>
      <c r="T14" s="125"/>
    </row>
    <row r="15" spans="2:22" x14ac:dyDescent="0.3">
      <c r="B15" s="115" t="s">
        <v>417</v>
      </c>
      <c r="E15" s="117"/>
      <c r="F15" s="117">
        <f>Model!F30/AVERAGE(Model!E73:F73)</f>
        <v>1.4139753128430412</v>
      </c>
      <c r="G15" s="117">
        <f>Model!G30/AVERAGE(Model!F73:G73)</f>
        <v>1.2739913380851291</v>
      </c>
      <c r="H15" s="117">
        <f>Model!H30/AVERAGE(Model!G73:H73)</f>
        <v>1.1246491858591015</v>
      </c>
      <c r="I15" s="117">
        <f>Model!I30/AVERAGE(Model!H73:I73)</f>
        <v>1.0964661742406618</v>
      </c>
      <c r="J15" s="117">
        <f>Model!J30/AVERAGE(Model!I73:J73)</f>
        <v>1.0533784869429175</v>
      </c>
      <c r="K15" s="117">
        <f>Model!K30/AVERAGE(Model!J73:K73)</f>
        <v>1.0479957173699399</v>
      </c>
      <c r="L15" s="117">
        <f>Model!L30/AVERAGE(Model!K73:L73)</f>
        <v>1.0477107420143821</v>
      </c>
      <c r="M15" s="117">
        <f>Model!M30/AVERAGE(Model!L73:M73)</f>
        <v>1.0489990641997002</v>
      </c>
      <c r="N15" s="117">
        <f>Model!N30/AVERAGE(Model!M73:N73)</f>
        <v>1.051950802044767</v>
      </c>
      <c r="O15" s="117">
        <f>Model!O30/AVERAGE(Model!N73:O73)</f>
        <v>1.0566369557176913</v>
      </c>
      <c r="P15" s="117">
        <f>Model!P30/AVERAGE(Model!O73:P73)</f>
        <v>1.0631168265474444</v>
      </c>
      <c r="Q15" s="117">
        <f>Model!Q30/AVERAGE(Model!P73:Q73)</f>
        <v>1.0714449580270762</v>
      </c>
      <c r="R15" s="117">
        <f>Model!R30/AVERAGE(Model!Q73:R73)</f>
        <v>1.0816781809428251</v>
      </c>
      <c r="S15" s="117">
        <f>Model!S30/AVERAGE(Model!R73:S73)</f>
        <v>1.0938836053583965</v>
      </c>
      <c r="T15" s="119"/>
      <c r="V15" t="s">
        <v>439</v>
      </c>
    </row>
    <row r="16" spans="2:22" x14ac:dyDescent="0.3">
      <c r="B16" s="115"/>
      <c r="J16" s="88"/>
      <c r="K16" s="88"/>
      <c r="L16" s="88"/>
      <c r="M16" s="88"/>
      <c r="N16" s="88"/>
      <c r="O16" s="88"/>
      <c r="P16" s="88"/>
      <c r="Q16" s="88"/>
      <c r="R16" s="88"/>
      <c r="S16" s="88"/>
      <c r="T16" s="88"/>
    </row>
    <row r="17" spans="2:22" x14ac:dyDescent="0.3">
      <c r="B17" s="126" t="s">
        <v>418</v>
      </c>
      <c r="C17" s="125"/>
      <c r="D17" s="125"/>
      <c r="E17" s="125"/>
      <c r="F17" s="125"/>
      <c r="G17" s="125"/>
      <c r="H17" s="125"/>
      <c r="I17" s="125"/>
      <c r="J17" s="125"/>
      <c r="K17" s="125"/>
      <c r="L17" s="125"/>
      <c r="M17" s="125"/>
      <c r="N17" s="125"/>
      <c r="O17" s="125"/>
      <c r="P17" s="125"/>
      <c r="Q17" s="125"/>
      <c r="R17" s="125"/>
      <c r="S17" s="125"/>
      <c r="T17" s="125"/>
    </row>
    <row r="18" spans="2:22" x14ac:dyDescent="0.3">
      <c r="B18" s="115" t="s">
        <v>419</v>
      </c>
      <c r="E18" s="117">
        <f>SUM(Model!E61:E63)/(SUM(Model!E77:E78))</f>
        <v>0.71497747102015685</v>
      </c>
      <c r="F18" s="117">
        <f>SUM(Model!F61:F63)/(SUM(Model!F77:F78))</f>
        <v>0.81007771408309193</v>
      </c>
      <c r="G18" s="117">
        <f>SUM(Model!G61:G63)/(SUM(Model!G77:G78))</f>
        <v>0.83258526389130816</v>
      </c>
      <c r="H18" s="117">
        <f>SUM(Model!H61:H63)/(SUM(Model!H77:H78))</f>
        <v>0.70561774764786711</v>
      </c>
      <c r="I18" s="117">
        <f>SUM(Model!I61:I63)/(SUM(Model!I77:I78))</f>
        <v>0.71382248096869316</v>
      </c>
      <c r="J18" s="117">
        <f>SUM(Model!J61:J63)/(SUM(Model!J77:J78))</f>
        <v>0.88589265002528017</v>
      </c>
      <c r="K18" s="117">
        <f>SUM(Model!K61:K63)/(SUM(Model!K77:K78))</f>
        <v>1.1262970001579964</v>
      </c>
      <c r="L18" s="117">
        <f>SUM(Model!L61:L63)/(SUM(Model!L77:L78))</f>
        <v>1.3461583319186052</v>
      </c>
      <c r="M18" s="117">
        <f>SUM(Model!M61:M63)/(SUM(Model!M77:M78))</f>
        <v>1.5448576949412278</v>
      </c>
      <c r="N18" s="117">
        <f>SUM(Model!N61:N63)/(SUM(Model!N77:N78))</f>
        <v>1.7213295375558035</v>
      </c>
      <c r="O18" s="117">
        <f>SUM(Model!O61:O63)/(SUM(Model!O77:O78))</f>
        <v>1.8739940780088002</v>
      </c>
      <c r="P18" s="117">
        <f>SUM(Model!P61:P63)/(SUM(Model!P77:P78))</f>
        <v>2.0006455819614821</v>
      </c>
      <c r="Q18" s="117">
        <f>SUM(Model!Q61:Q63)/(SUM(Model!Q77:Q78))</f>
        <v>2.0982691151951403</v>
      </c>
      <c r="R18" s="117">
        <f>SUM(Model!R61:R63)/(SUM(Model!R77:R78))</f>
        <v>2.162736985203253</v>
      </c>
      <c r="S18" s="117">
        <f>SUM(Model!S61:S63)/(SUM(Model!S77:S78))</f>
        <v>2.1882939369148522</v>
      </c>
      <c r="T18" s="119"/>
      <c r="V18" t="s">
        <v>440</v>
      </c>
    </row>
    <row r="19" spans="2:22" x14ac:dyDescent="0.3">
      <c r="B19" s="115" t="s">
        <v>420</v>
      </c>
      <c r="E19" s="57" cm="1">
        <f t="array" ref="E19">SUM(Model!E61:E65/SUM(Model!E77:E78))</f>
        <v>1.7263460801385841</v>
      </c>
      <c r="F19" s="57" cm="1">
        <f t="array" ref="F19">SUM(Model!F61:F65/SUM(Model!F77:F78))</f>
        <v>1.8095192364517463</v>
      </c>
      <c r="G19" s="57" cm="1">
        <f t="array" ref="G19">SUM(Model!G61:G65/SUM(Model!G77:G78))</f>
        <v>1.7675080996342101</v>
      </c>
      <c r="H19" s="57" cm="1">
        <f t="array" ref="H19">SUM(Model!H61:H65/SUM(Model!H77:H78))</f>
        <v>1.7414381809988027</v>
      </c>
      <c r="I19" s="57" cm="1">
        <f t="array" ref="I19">SUM(Model!I61:I65/SUM(Model!I77:I78))</f>
        <v>1.556391800788693</v>
      </c>
      <c r="J19" s="120" cm="1">
        <f t="array" ref="J19">SUM(Model!J61:J65/SUM(Model!J77:J78))</f>
        <v>1.8192837403259756</v>
      </c>
      <c r="K19" s="120" cm="1">
        <f t="array" ref="K19">SUM(Model!K61:K65/SUM(Model!K77:K78))</f>
        <v>2.0799798326906815</v>
      </c>
      <c r="L19" s="120" cm="1">
        <f t="array" ref="L19">SUM(Model!L61:L65/SUM(Model!L77:L78))</f>
        <v>2.320996642702863</v>
      </c>
      <c r="M19" s="120" cm="1">
        <f t="array" ref="M19">SUM(Model!M61:M65/SUM(Model!M77:M78))</f>
        <v>2.5416555063067858</v>
      </c>
      <c r="N19" s="120" cm="1">
        <f t="array" ref="N19">SUM(Model!N61:N65/SUM(Model!N77:N78))</f>
        <v>2.7408205203875045</v>
      </c>
      <c r="O19" s="120" cm="1">
        <f t="array" ref="O19">SUM(Model!O61:O65/SUM(Model!O77:O78))</f>
        <v>2.9168307392772865</v>
      </c>
      <c r="P19" s="120" cm="1">
        <f t="array" ref="P19">SUM(Model!P61:P65/SUM(Model!P77:P78))</f>
        <v>3.0673885764172257</v>
      </c>
      <c r="Q19" s="120" cm="1">
        <f t="array" ref="Q19">SUM(Model!Q61:Q65/SUM(Model!Q77:Q78))</f>
        <v>3.1893770204594851</v>
      </c>
      <c r="R19" s="120" cm="1">
        <f t="array" ref="R19">SUM(Model!R61:R65/SUM(Model!R77:R78))</f>
        <v>3.2785569084423476</v>
      </c>
      <c r="S19" s="120" cm="1">
        <f t="array" ref="S19">SUM(Model!S61:S65/SUM(Model!S77:S78))</f>
        <v>3.329053334572655</v>
      </c>
      <c r="T19" s="120"/>
      <c r="V19" t="s">
        <v>441</v>
      </c>
    </row>
    <row r="20" spans="2:22" x14ac:dyDescent="0.3">
      <c r="B20" s="115" t="s">
        <v>421</v>
      </c>
      <c r="E20" s="41">
        <f>Model!E22+Model!E23-Model!E24</f>
        <v>88.250568306593323</v>
      </c>
      <c r="F20" s="41">
        <f>Model!F22+Model!F23-Model!F24</f>
        <v>93.525008329402695</v>
      </c>
      <c r="G20" s="41">
        <f>Model!G22+Model!G23-Model!G24</f>
        <v>88.302303325145033</v>
      </c>
      <c r="H20" s="41">
        <f>Model!H22+Model!H23-Model!H24</f>
        <v>100.23179863473052</v>
      </c>
      <c r="I20" s="41">
        <f>Model!I22+Model!I23-Model!I24</f>
        <v>80.140932625213182</v>
      </c>
      <c r="J20" s="121">
        <f>Model!J22+Model!J23-Model!J24</f>
        <v>90.090122244216957</v>
      </c>
      <c r="K20" s="121">
        <f>Model!K22+Model!K23-Model!K24</f>
        <v>90.090122244216957</v>
      </c>
      <c r="L20" s="121">
        <f>Model!L22+Model!L23-Model!L24</f>
        <v>90.090122244216957</v>
      </c>
      <c r="M20" s="121">
        <f>Model!M22+Model!M23-Model!M24</f>
        <v>90.090122244216957</v>
      </c>
      <c r="N20" s="121">
        <f>Model!N22+Model!N23-Model!N24</f>
        <v>90.090122244216957</v>
      </c>
      <c r="O20" s="121">
        <f>Model!O22+Model!O23-Model!O24</f>
        <v>90.090122244216957</v>
      </c>
      <c r="P20" s="121">
        <f>Model!P22+Model!P23-Model!P24</f>
        <v>90.090122244216957</v>
      </c>
      <c r="Q20" s="121">
        <f>Model!Q22+Model!Q23-Model!Q24</f>
        <v>90.090122244216957</v>
      </c>
      <c r="R20" s="121">
        <f>Model!R22+Model!R23-Model!R24</f>
        <v>90.090122244216957</v>
      </c>
      <c r="S20" s="121">
        <f>Model!S22+Model!S23-Model!S24</f>
        <v>90.090122244216957</v>
      </c>
      <c r="T20" s="121"/>
      <c r="V20" t="s">
        <v>442</v>
      </c>
    </row>
    <row r="21" spans="2:22" x14ac:dyDescent="0.3">
      <c r="B21" s="115"/>
      <c r="J21" s="88"/>
      <c r="K21" s="88"/>
      <c r="L21" s="88"/>
      <c r="M21" s="88"/>
      <c r="N21" s="88"/>
      <c r="O21" s="88"/>
      <c r="P21" s="88"/>
      <c r="Q21" s="88"/>
      <c r="R21" s="88"/>
      <c r="S21" s="88"/>
      <c r="T21" s="88"/>
    </row>
    <row r="22" spans="2:22" x14ac:dyDescent="0.3">
      <c r="B22" s="126" t="s">
        <v>422</v>
      </c>
      <c r="C22" s="125"/>
      <c r="D22" s="125"/>
      <c r="E22" s="125"/>
      <c r="F22" s="125"/>
      <c r="G22" s="125"/>
      <c r="H22" s="125"/>
      <c r="I22" s="125"/>
      <c r="J22" s="125"/>
      <c r="K22" s="125"/>
      <c r="L22" s="125"/>
      <c r="M22" s="125"/>
      <c r="N22" s="125"/>
      <c r="O22" s="125"/>
      <c r="P22" s="125"/>
      <c r="Q22" s="125"/>
      <c r="R22" s="125"/>
      <c r="S22" s="125"/>
      <c r="T22" s="125"/>
    </row>
    <row r="23" spans="2:22" x14ac:dyDescent="0.3">
      <c r="B23" s="115" t="s">
        <v>423</v>
      </c>
      <c r="E23" s="57">
        <f>Model!E73/Model!E89</f>
        <v>1.6641458314629189</v>
      </c>
      <c r="F23" s="57">
        <f>Model!F73/Model!F89</f>
        <v>1.6131583900431647</v>
      </c>
      <c r="G23" s="57">
        <f>Model!G73/Model!G89</f>
        <v>1.5978006546242851</v>
      </c>
      <c r="H23" s="57">
        <f>Model!H73/Model!H89</f>
        <v>1.5655498687873748</v>
      </c>
      <c r="I23" s="57">
        <f>Model!I73/Model!I89</f>
        <v>1.6159064440221811</v>
      </c>
      <c r="J23" s="120">
        <f>Model!J73/Model!J89</f>
        <v>1.5862680606986668</v>
      </c>
      <c r="K23" s="120">
        <f>Model!K73/Model!K89</f>
        <v>1.5487494252962044</v>
      </c>
      <c r="L23" s="120">
        <f>Model!L73/Model!L89</f>
        <v>1.5147044029844268</v>
      </c>
      <c r="M23" s="120">
        <f>Model!M73/Model!M89</f>
        <v>1.4838699407383762</v>
      </c>
      <c r="N23" s="120">
        <f>Model!N73/Model!N89</f>
        <v>1.4559855838460125</v>
      </c>
      <c r="O23" s="120">
        <f>Model!O73/Model!O89</f>
        <v>1.4308043583541852</v>
      </c>
      <c r="P23" s="120">
        <f>Model!P73/Model!P89</f>
        <v>1.4080988936897436</v>
      </c>
      <c r="Q23" s="120">
        <f>Model!Q73/Model!Q89</f>
        <v>1.3876646019742429</v>
      </c>
      <c r="R23" s="120">
        <f>Model!R73/Model!R89</f>
        <v>1.3693212190690789</v>
      </c>
      <c r="S23" s="120">
        <f>Model!S73/Model!S89</f>
        <v>1.3529136997006728</v>
      </c>
      <c r="T23" s="120"/>
      <c r="V23" t="s">
        <v>443</v>
      </c>
    </row>
    <row r="24" spans="2:22" x14ac:dyDescent="0.3">
      <c r="B24" s="115" t="s">
        <v>313</v>
      </c>
      <c r="E24" s="57">
        <f>Model!E81/Model!E89</f>
        <v>0.11489505892165694</v>
      </c>
      <c r="F24" s="57">
        <f>Model!F81/Model!F89</f>
        <v>0.12084743653636798</v>
      </c>
      <c r="G24" s="57">
        <f>Model!G81/Model!G89</f>
        <v>0.13211984002819263</v>
      </c>
      <c r="H24" s="57">
        <f>Model!H81/Model!H89</f>
        <v>0.11805734179870835</v>
      </c>
      <c r="I24" s="57">
        <f>Model!I81/Model!I89</f>
        <v>0.18383891886378134</v>
      </c>
      <c r="J24" s="120">
        <f>Model!J81/Model!J89</f>
        <v>0.1687691950928753</v>
      </c>
      <c r="K24" s="120">
        <f>Model!K81/Model!K89</f>
        <v>0.15496906103948194</v>
      </c>
      <c r="L24" s="120">
        <f>Model!L81/Model!L89</f>
        <v>0.14234584007963122</v>
      </c>
      <c r="M24" s="120">
        <f>Model!M81/Model!M89</f>
        <v>0.13080261464326567</v>
      </c>
      <c r="N24" s="120">
        <f>Model!N81/Model!N89</f>
        <v>0.12024415781838395</v>
      </c>
      <c r="O24" s="120">
        <f>Model!O81/Model!O89</f>
        <v>0.11058037766079913</v>
      </c>
      <c r="P24" s="120">
        <f>Model!P81/Model!P89</f>
        <v>0.10172813570311208</v>
      </c>
      <c r="Q24" s="120">
        <f>Model!Q81/Model!Q89</f>
        <v>9.3612042671975246E-2</v>
      </c>
      <c r="R24" s="120">
        <f>Model!R81/Model!R89</f>
        <v>8.61646473305646E-2</v>
      </c>
      <c r="S24" s="120">
        <f>Model!S81/Model!S89</f>
        <v>7.9326308105660784E-2</v>
      </c>
      <c r="T24" s="120"/>
      <c r="V24" t="s">
        <v>444</v>
      </c>
    </row>
    <row r="25" spans="2:22" x14ac:dyDescent="0.3">
      <c r="B25" s="115"/>
      <c r="J25" s="88"/>
      <c r="K25" s="88"/>
      <c r="L25" s="88"/>
      <c r="M25" s="88"/>
      <c r="N25" s="88"/>
      <c r="O25" s="88"/>
      <c r="P25" s="88"/>
      <c r="Q25" s="88"/>
      <c r="R25" s="88"/>
      <c r="S25" s="88"/>
      <c r="T25" s="88"/>
    </row>
    <row r="26" spans="2:22" x14ac:dyDescent="0.3">
      <c r="B26" s="126" t="s">
        <v>424</v>
      </c>
      <c r="C26" s="125"/>
      <c r="D26" s="125"/>
      <c r="E26" s="125"/>
      <c r="F26" s="125"/>
      <c r="G26" s="125"/>
      <c r="H26" s="125"/>
      <c r="I26" s="125"/>
      <c r="J26" s="125"/>
      <c r="K26" s="125"/>
      <c r="L26" s="125"/>
      <c r="M26" s="125"/>
      <c r="N26" s="125"/>
      <c r="O26" s="125"/>
      <c r="P26" s="125"/>
      <c r="Q26" s="125"/>
      <c r="R26" s="125"/>
      <c r="S26" s="125"/>
      <c r="T26" s="125"/>
    </row>
    <row r="27" spans="2:22" x14ac:dyDescent="0.3">
      <c r="B27" s="115" t="s">
        <v>425</v>
      </c>
      <c r="E27" s="52"/>
      <c r="F27" s="52">
        <f>Model!F30/AVERAGE(Model!E63:F63)</f>
        <v>8.1026177764464737</v>
      </c>
      <c r="G27" s="52">
        <f>Model!G30/AVERAGE(Model!F63:G63)</f>
        <v>7.4490983154143677</v>
      </c>
      <c r="H27" s="52">
        <f>Model!H30/AVERAGE(Model!G63:H63)</f>
        <v>7.360234620147855</v>
      </c>
      <c r="I27" s="52">
        <f>Model!I30/AVERAGE(Model!H63:I63)</f>
        <v>8.0968107473445645</v>
      </c>
      <c r="J27" s="52">
        <f>Model!J30/AVERAGE(Model!I63:J63)</f>
        <v>7.9880652358562036</v>
      </c>
      <c r="K27" s="52">
        <f>Model!K30/AVERAGE(Model!J63:K63)</f>
        <v>7.8175807911126105</v>
      </c>
      <c r="L27" s="52">
        <f>Model!L30/AVERAGE(Model!K63:L63)</f>
        <v>7.8282940451737995</v>
      </c>
      <c r="M27" s="52">
        <f>Model!M30/AVERAGE(Model!L63:M63)</f>
        <v>7.8389761975444632</v>
      </c>
      <c r="N27" s="52">
        <f>Model!N30/AVERAGE(Model!M63:N63)</f>
        <v>7.8496273834654513</v>
      </c>
      <c r="O27" s="52">
        <f>Model!O30/AVERAGE(Model!N63:O63)</f>
        <v>7.8602477373946558</v>
      </c>
      <c r="P27" s="52">
        <f>Model!P30/AVERAGE(Model!O63:P63)</f>
        <v>7.8708373930126578</v>
      </c>
      <c r="Q27" s="52">
        <f>Model!Q30/AVERAGE(Model!P63:Q63)</f>
        <v>7.8813964832283485</v>
      </c>
      <c r="R27" s="52">
        <f>Model!R30/AVERAGE(Model!Q63:R63)</f>
        <v>7.8919251401844761</v>
      </c>
      <c r="S27" s="52">
        <f>Model!S30/AVERAGE(Model!R63:S63)</f>
        <v>7.9024234952631707</v>
      </c>
      <c r="T27" s="122"/>
      <c r="V27" t="s">
        <v>445</v>
      </c>
    </row>
    <row r="28" spans="2:22" x14ac:dyDescent="0.3">
      <c r="B28" s="115" t="s">
        <v>426</v>
      </c>
      <c r="E28" s="41"/>
      <c r="F28" s="41">
        <f>Model!F22</f>
        <v>49.096676611018296</v>
      </c>
      <c r="G28" s="41">
        <f>Model!G22</f>
        <v>50.293464691800729</v>
      </c>
      <c r="H28" s="41">
        <f>Model!H22</f>
        <v>46.530970381901284</v>
      </c>
      <c r="I28" s="41">
        <f>Model!I22</f>
        <v>45.8221244991364</v>
      </c>
      <c r="J28" s="121">
        <f>Model!J22</f>
        <v>48.066100214784683</v>
      </c>
      <c r="K28" s="121">
        <f>Model!K22</f>
        <v>48.066100214784683</v>
      </c>
      <c r="L28" s="121">
        <f>Model!L22</f>
        <v>48.066100214784683</v>
      </c>
      <c r="M28" s="121">
        <f>Model!M22</f>
        <v>48.066100214784683</v>
      </c>
      <c r="N28" s="121">
        <f>Model!N22</f>
        <v>48.066100214784683</v>
      </c>
      <c r="O28" s="121">
        <f>Model!O22</f>
        <v>48.066100214784683</v>
      </c>
      <c r="P28" s="121">
        <f>Model!P22</f>
        <v>48.066100214784683</v>
      </c>
      <c r="Q28" s="121">
        <f>Model!Q22</f>
        <v>48.066100214784683</v>
      </c>
      <c r="R28" s="121">
        <f>Model!R22</f>
        <v>48.066100214784683</v>
      </c>
      <c r="S28" s="121">
        <f>Model!S22</f>
        <v>48.066100214784683</v>
      </c>
      <c r="T28" s="121"/>
      <c r="V28" t="s">
        <v>446</v>
      </c>
    </row>
    <row r="29" spans="2:22" x14ac:dyDescent="0.3">
      <c r="B29" s="115" t="s">
        <v>427</v>
      </c>
      <c r="E29" s="52"/>
      <c r="F29" s="52">
        <f>-Model!F31/AVERAGE(Model!E64:F64)</f>
        <v>3.4223795296199664</v>
      </c>
      <c r="G29" s="52">
        <f>-Model!G31/AVERAGE(Model!F64:G64)</f>
        <v>3.3113774873187434</v>
      </c>
      <c r="H29" s="52">
        <f>-Model!H31/AVERAGE(Model!G64:H64)</f>
        <v>3.0872852907769555</v>
      </c>
      <c r="I29" s="52">
        <f>-Model!I31/AVERAGE(Model!H64:I64)</f>
        <v>3.2097960677078321</v>
      </c>
      <c r="J29" s="52">
        <f>-Model!J31/AVERAGE(Model!I64:J64)</f>
        <v>3.5074747796984691</v>
      </c>
      <c r="K29" s="52">
        <f>-Model!K31/AVERAGE(Model!J64:K64)</f>
        <v>3.3079513207930669</v>
      </c>
      <c r="L29" s="52">
        <f>-Model!L31/AVERAGE(Model!K64:L64)</f>
        <v>3.3124845547779325</v>
      </c>
      <c r="M29" s="52">
        <f>-Model!M31/AVERAGE(Model!L64:M64)</f>
        <v>3.3170046283131649</v>
      </c>
      <c r="N29" s="52">
        <f>-Model!N31/AVERAGE(Model!M64:N64)</f>
        <v>3.3215115986249262</v>
      </c>
      <c r="O29" s="52">
        <f>-Model!O31/AVERAGE(Model!N64:O64)</f>
        <v>3.3260055226080771</v>
      </c>
      <c r="P29" s="52">
        <f>-Model!P31/AVERAGE(Model!O64:P64)</f>
        <v>3.3304864568285644</v>
      </c>
      <c r="Q29" s="52">
        <f>-Model!Q31/AVERAGE(Model!P64:Q64)</f>
        <v>3.334954457525797</v>
      </c>
      <c r="R29" s="52">
        <f>-Model!R31/AVERAGE(Model!Q64:R64)</f>
        <v>3.3394095806150004</v>
      </c>
      <c r="S29" s="52">
        <f>-Model!S31/AVERAGE(Model!R64:S64)</f>
        <v>3.3438518816895479</v>
      </c>
      <c r="T29" s="122"/>
      <c r="V29" t="s">
        <v>447</v>
      </c>
    </row>
    <row r="30" spans="2:22" x14ac:dyDescent="0.3">
      <c r="B30" s="115" t="s">
        <v>428</v>
      </c>
      <c r="E30" s="41"/>
      <c r="F30" s="41">
        <f>Model!F23</f>
        <v>107.14832793704061</v>
      </c>
      <c r="G30" s="41">
        <f>Model!G23</f>
        <v>107.6168268027064</v>
      </c>
      <c r="H30" s="41">
        <f>Model!H23</f>
        <v>125.66925585346833</v>
      </c>
      <c r="I30" s="41">
        <f>Model!I23</f>
        <v>104.81301414174139</v>
      </c>
      <c r="J30" s="121">
        <f>Model!J23</f>
        <v>113.59315337588086</v>
      </c>
      <c r="K30" s="121">
        <f>Model!K23</f>
        <v>113.59315337588086</v>
      </c>
      <c r="L30" s="121">
        <f>Model!L23</f>
        <v>113.59315337588086</v>
      </c>
      <c r="M30" s="121">
        <f>Model!M23</f>
        <v>113.59315337588086</v>
      </c>
      <c r="N30" s="121">
        <f>Model!N23</f>
        <v>113.59315337588086</v>
      </c>
      <c r="O30" s="121">
        <f>Model!O23</f>
        <v>113.59315337588086</v>
      </c>
      <c r="P30" s="121">
        <f>Model!P23</f>
        <v>113.59315337588086</v>
      </c>
      <c r="Q30" s="121">
        <f>Model!Q23</f>
        <v>113.59315337588086</v>
      </c>
      <c r="R30" s="121">
        <f>Model!R23</f>
        <v>113.59315337588086</v>
      </c>
      <c r="S30" s="121">
        <f>Model!S23</f>
        <v>113.59315337588086</v>
      </c>
      <c r="T30" s="121"/>
      <c r="V30" t="s">
        <v>448</v>
      </c>
    </row>
    <row r="31" spans="2:22" x14ac:dyDescent="0.3">
      <c r="B31" s="115" t="s">
        <v>429</v>
      </c>
      <c r="E31" s="52"/>
      <c r="F31" s="52">
        <f>-Model!F31/AVERAGE(Model!E77:F77)</f>
        <v>5.424924420557609</v>
      </c>
      <c r="G31" s="52">
        <f>-Model!G31/AVERAGE(Model!F77:G77)</f>
        <v>5.38122457069848</v>
      </c>
      <c r="H31" s="52">
        <f>-Model!H31/AVERAGE(Model!G77:H77)</f>
        <v>5.0826711670534186</v>
      </c>
      <c r="I31" s="52">
        <f>-Model!I31/AVERAGE(Model!H77:I77)</f>
        <v>5.1878293978503542</v>
      </c>
      <c r="J31" s="52">
        <f>-Model!J31/AVERAGE(Model!I77:J77)</f>
        <v>5.4014127529215381</v>
      </c>
      <c r="K31" s="52">
        <f>-Model!K31/AVERAGE(Model!J77:K77)</f>
        <v>5.2503169267743335</v>
      </c>
      <c r="L31" s="52">
        <f>-Model!L31/AVERAGE(Model!K77:L77)</f>
        <v>5.2575119888582762</v>
      </c>
      <c r="M31" s="52">
        <f>-Model!M31/AVERAGE(Model!L77:M77)</f>
        <v>5.2646861629288324</v>
      </c>
      <c r="N31" s="52">
        <f>-Model!N31/AVERAGE(Model!M77:N77)</f>
        <v>5.2718395398142688</v>
      </c>
      <c r="O31" s="52">
        <f>-Model!O31/AVERAGE(Model!N77:O77)</f>
        <v>5.2789722098170175</v>
      </c>
      <c r="P31" s="52">
        <f>-Model!P31/AVERAGE(Model!O77:P77)</f>
        <v>5.2860842627174645</v>
      </c>
      <c r="Q31" s="52">
        <f>-Model!Q31/AVERAGE(Model!P77:Q77)</f>
        <v>5.2931757877777237</v>
      </c>
      <c r="R31" s="52">
        <f>-Model!R31/AVERAGE(Model!Q77:R77)</f>
        <v>5.3002468737453681</v>
      </c>
      <c r="S31" s="52">
        <f>-Model!S31/AVERAGE(Model!R77:S77)</f>
        <v>5.307297608857132</v>
      </c>
      <c r="T31" s="122"/>
      <c r="V31" t="s">
        <v>449</v>
      </c>
    </row>
    <row r="32" spans="2:22" x14ac:dyDescent="0.3">
      <c r="B32" s="115" t="s">
        <v>430</v>
      </c>
      <c r="E32" s="41"/>
      <c r="F32" s="41">
        <f>Model!F24</f>
        <v>62.719996218656192</v>
      </c>
      <c r="G32" s="41">
        <f>Model!G24</f>
        <v>69.607988169362102</v>
      </c>
      <c r="H32" s="41">
        <f>Model!H24</f>
        <v>71.968427600639075</v>
      </c>
      <c r="I32" s="41">
        <f>Model!I24</f>
        <v>70.494206015664602</v>
      </c>
      <c r="J32" s="121">
        <f>Model!J24</f>
        <v>71.569131346448586</v>
      </c>
      <c r="K32" s="121">
        <f>Model!K24</f>
        <v>71.569131346448586</v>
      </c>
      <c r="L32" s="121">
        <f>Model!L24</f>
        <v>71.569131346448586</v>
      </c>
      <c r="M32" s="121">
        <f>Model!M24</f>
        <v>71.569131346448586</v>
      </c>
      <c r="N32" s="121">
        <f>Model!N24</f>
        <v>71.569131346448586</v>
      </c>
      <c r="O32" s="121">
        <f>Model!O24</f>
        <v>71.569131346448586</v>
      </c>
      <c r="P32" s="121">
        <f>Model!P24</f>
        <v>71.569131346448586</v>
      </c>
      <c r="Q32" s="121">
        <f>Model!Q24</f>
        <v>71.569131346448586</v>
      </c>
      <c r="R32" s="121">
        <f>Model!R24</f>
        <v>71.569131346448586</v>
      </c>
      <c r="S32" s="121">
        <f>Model!S24</f>
        <v>71.569131346448586</v>
      </c>
      <c r="T32" s="121"/>
      <c r="V32" t="s">
        <v>450</v>
      </c>
    </row>
    <row r="33" spans="2:22" x14ac:dyDescent="0.3">
      <c r="B33" s="115" t="s">
        <v>431</v>
      </c>
      <c r="E33" s="52"/>
      <c r="F33" s="52">
        <f>Model!F30/AVERAGE(Model!E68:F68)</f>
        <v>6.1098416938895559</v>
      </c>
      <c r="G33" s="52">
        <f>Model!G30/AVERAGE(Model!F68:G68)</f>
        <v>5.4957823285138749</v>
      </c>
      <c r="H33" s="52">
        <f>Model!H30/AVERAGE(Model!G68:H68)</f>
        <v>4.1432394517655347</v>
      </c>
      <c r="I33" s="52">
        <f>Model!I30/AVERAGE(Model!H68:I68)</f>
        <v>3.7733640573519724</v>
      </c>
      <c r="J33" s="52">
        <f>Model!J30/AVERAGE(Model!I68:J68)</f>
        <v>4.0146569184968772</v>
      </c>
      <c r="K33" s="52">
        <f>Model!K30/AVERAGE(Model!J68:K68)</f>
        <v>4.4713384543440604</v>
      </c>
      <c r="L33" s="52">
        <f>Model!L30/AVERAGE(Model!K68:L68)</f>
        <v>4.9086665419148856</v>
      </c>
      <c r="M33" s="52">
        <f>Model!M30/AVERAGE(Model!L68:M68)</f>
        <v>5.2987644015272748</v>
      </c>
      <c r="N33" s="52">
        <f>Model!N30/AVERAGE(Model!M68:N68)</f>
        <v>5.6123632374807979</v>
      </c>
      <c r="O33" s="52">
        <f>Model!O30/AVERAGE(Model!N68:O68)</f>
        <v>5.8232077923244274</v>
      </c>
      <c r="P33" s="52">
        <f>Model!P30/AVERAGE(Model!O68:P68)</f>
        <v>5.9125434015740614</v>
      </c>
      <c r="Q33" s="52">
        <f>Model!Q30/AVERAGE(Model!P68:Q68)</f>
        <v>5.8722154795678989</v>
      </c>
      <c r="R33" s="52">
        <f>Model!R30/AVERAGE(Model!Q68:R68)</f>
        <v>5.7053315046382185</v>
      </c>
      <c r="S33" s="52">
        <f>Model!S30/AVERAGE(Model!R68:S68)</f>
        <v>5.4244141717191887</v>
      </c>
      <c r="T33" s="122"/>
      <c r="V33" t="s">
        <v>451</v>
      </c>
    </row>
    <row r="34" spans="2:22" x14ac:dyDescent="0.3">
      <c r="B34" s="115" t="s">
        <v>432</v>
      </c>
      <c r="E34" s="116"/>
      <c r="F34" s="116">
        <f>Model!E42*(1-Model!E20)/AVERAGE((Model!E89+Model!E81-Model!E61),(Model!F89+Model!F81-Model!F61))</f>
        <v>0.18255295009240161</v>
      </c>
      <c r="G34" s="116">
        <f>Model!F42*(1-Model!F20)/AVERAGE((Model!F89+Model!F81-Model!F61),(Model!G89+Model!G81-Model!G61))</f>
        <v>0.21091514611767817</v>
      </c>
      <c r="H34" s="116">
        <f>Model!G42*(1-Model!G20)/AVERAGE((Model!G89+Model!G81-Model!G61),(Model!H89+Model!H81-Model!H61))</f>
        <v>0.24469703242755977</v>
      </c>
      <c r="I34" s="116">
        <f>Model!H42*(1-Model!H20)/AVERAGE((Model!H89+Model!H81-Model!H61),(Model!I89+Model!I81-Model!I61))</f>
        <v>0.15783522449247317</v>
      </c>
      <c r="J34" s="116">
        <f>Model!I42*(1-Model!I20)/AVERAGE((Model!I89+Model!I81-Model!I61),(Model!J89+Model!J81-Model!J61))</f>
        <v>0.16044320389004876</v>
      </c>
      <c r="K34" s="116">
        <f>Model!J42*(1-Model!J20)/AVERAGE((Model!J89+Model!J81-Model!J61),(Model!K89+Model!K81-Model!K61))</f>
        <v>0.17054237377261156</v>
      </c>
      <c r="L34" s="116">
        <f>Model!K42*(1-Model!K20)/AVERAGE((Model!K89+Model!K81-Model!K61),(Model!L89+Model!L81-Model!L61))</f>
        <v>0.18319347542855</v>
      </c>
      <c r="M34" s="116">
        <f>Model!L42*(1-Model!L20)/AVERAGE((Model!L89+Model!L81-Model!L61),(Model!M89+Model!M81-Model!M61))</f>
        <v>0.19471916094197919</v>
      </c>
      <c r="N34" s="116">
        <f>Model!M42*(1-Model!M20)/AVERAGE((Model!M89+Model!M81-Model!M61),(Model!N89+Model!N81-Model!N61))</f>
        <v>0.20488020208978613</v>
      </c>
      <c r="O34" s="116">
        <f>Model!N42*(1-Model!N20)/AVERAGE((Model!N89+Model!N81-Model!N61),(Model!O89+Model!O81-Model!O61))</f>
        <v>0.21343624143119813</v>
      </c>
      <c r="P34" s="116">
        <f>Model!O42*(1-Model!O20)/AVERAGE((Model!O89+Model!O81-Model!O61),(Model!P89+Model!P81-Model!P61))</f>
        <v>0.22014514437289526</v>
      </c>
      <c r="Q34" s="116">
        <f>Model!P42*(1-Model!P20)/AVERAGE((Model!P89+Model!P81-Model!P61),(Model!Q89+Model!Q81-Model!Q61))</f>
        <v>0.22476070157367634</v>
      </c>
      <c r="R34" s="116">
        <f>Model!Q42*(1-Model!Q20)/AVERAGE((Model!Q89+Model!Q81-Model!Q61),(Model!R89+Model!R81-Model!R61))</f>
        <v>0.2270283673902681</v>
      </c>
      <c r="S34" s="116">
        <f>Model!R42*(1-Model!R20)/AVERAGE((Model!R89+Model!R81-Model!R61),(Model!S89+Model!S81-Model!S61))</f>
        <v>0.22667847414271378</v>
      </c>
      <c r="T34" s="123"/>
      <c r="V34" t="s">
        <v>452</v>
      </c>
    </row>
  </sheetData>
  <mergeCells count="2">
    <mergeCell ref="E3:I3"/>
    <mergeCell ref="J3:N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BA5B2-DBD2-41B9-88F1-68F04FC2E84E}">
  <dimension ref="B2:J50"/>
  <sheetViews>
    <sheetView showGridLines="0" zoomScale="116" workbookViewId="0">
      <selection activeCell="D39" sqref="D39"/>
    </sheetView>
  </sheetViews>
  <sheetFormatPr defaultRowHeight="14.4" x14ac:dyDescent="0.3"/>
  <cols>
    <col min="1" max="1" width="3.6640625" customWidth="1"/>
    <col min="2" max="2" width="31.33203125" bestFit="1" customWidth="1"/>
    <col min="4" max="4" width="11.6640625" bestFit="1" customWidth="1"/>
    <col min="5" max="5" width="9.88671875" bestFit="1" customWidth="1"/>
    <col min="6" max="6" width="11.33203125" bestFit="1" customWidth="1"/>
    <col min="7" max="7" width="11.88671875" bestFit="1" customWidth="1"/>
    <col min="8" max="8" width="8.33203125" bestFit="1" customWidth="1"/>
    <col min="9" max="9" width="12.109375" bestFit="1" customWidth="1"/>
    <col min="10" max="10" width="14.21875" bestFit="1" customWidth="1"/>
  </cols>
  <sheetData>
    <row r="2" spans="2:10" ht="28.8" x14ac:dyDescent="0.55000000000000004">
      <c r="B2" s="16" t="s">
        <v>160</v>
      </c>
      <c r="C2" s="3"/>
      <c r="D2" s="3"/>
      <c r="E2" s="3"/>
      <c r="F2" s="3"/>
      <c r="G2" s="3"/>
      <c r="H2" s="3"/>
      <c r="I2" s="3"/>
      <c r="J2" s="3"/>
    </row>
    <row r="3" spans="2:10" x14ac:dyDescent="0.3">
      <c r="B3" s="17" t="s">
        <v>161</v>
      </c>
      <c r="C3" s="3"/>
      <c r="D3" s="3"/>
      <c r="E3" s="33"/>
      <c r="F3" s="33"/>
      <c r="G3" s="33"/>
      <c r="H3" s="33"/>
      <c r="I3" s="33"/>
      <c r="J3" s="34"/>
    </row>
    <row r="4" spans="2:10" x14ac:dyDescent="0.3">
      <c r="B4" s="2" t="s">
        <v>159</v>
      </c>
      <c r="C4" s="3"/>
      <c r="D4" s="3"/>
      <c r="E4" s="18"/>
      <c r="F4" s="18"/>
      <c r="G4" s="18"/>
      <c r="H4" s="18"/>
      <c r="I4" s="18"/>
      <c r="J4" s="19"/>
    </row>
    <row r="6" spans="2:10" x14ac:dyDescent="0.3">
      <c r="B6" s="2" t="s">
        <v>311</v>
      </c>
      <c r="C6" s="2"/>
      <c r="D6" s="2"/>
      <c r="E6" s="2"/>
      <c r="F6" s="2"/>
      <c r="G6" s="2"/>
      <c r="H6" s="2"/>
      <c r="I6" s="2"/>
      <c r="J6" s="2"/>
    </row>
    <row r="8" spans="2:10" x14ac:dyDescent="0.3">
      <c r="B8" s="37" t="s">
        <v>269</v>
      </c>
      <c r="C8" s="38"/>
      <c r="D8" s="37" t="s">
        <v>307</v>
      </c>
      <c r="E8" s="37" t="s">
        <v>312</v>
      </c>
      <c r="F8" s="37" t="s">
        <v>313</v>
      </c>
      <c r="G8" s="37" t="s">
        <v>314</v>
      </c>
      <c r="H8" s="37" t="s">
        <v>315</v>
      </c>
      <c r="I8" s="37" t="s">
        <v>316</v>
      </c>
      <c r="J8" s="37" t="s">
        <v>317</v>
      </c>
    </row>
    <row r="10" spans="2:10" x14ac:dyDescent="0.3">
      <c r="B10" t="s">
        <v>284</v>
      </c>
      <c r="D10" s="4">
        <f>'Company Valuation'!F9</f>
        <v>264590</v>
      </c>
      <c r="E10" s="4">
        <f>'Company Valuation'!G9</f>
        <v>3928.93</v>
      </c>
      <c r="F10" s="40">
        <f>E10/D10</f>
        <v>1.4849125061415775E-2</v>
      </c>
      <c r="G10" s="40">
        <f>E10/(D10+E10)</f>
        <v>1.4631854819323166E-2</v>
      </c>
      <c r="H10" s="62">
        <f>'Company Data'!R9</f>
        <v>0.27</v>
      </c>
      <c r="I10" s="4">
        <v>0.12</v>
      </c>
      <c r="J10" s="4">
        <f>I10/(1+F10*(1-H10))</f>
        <v>0.11871316574940585</v>
      </c>
    </row>
    <row r="11" spans="2:10" x14ac:dyDescent="0.3">
      <c r="B11" t="s">
        <v>285</v>
      </c>
      <c r="D11" s="4">
        <f>'Company Valuation'!F10</f>
        <v>60613.919999999998</v>
      </c>
      <c r="E11" s="4">
        <f>'Company Valuation'!G10</f>
        <v>635.13</v>
      </c>
      <c r="F11" s="40">
        <f t="shared" ref="F11:F16" si="0">E11/D11</f>
        <v>1.0478286175848716E-2</v>
      </c>
      <c r="G11" s="40">
        <f t="shared" ref="G11:G16" si="1">E11/(D11+E11)</f>
        <v>1.036963022283611E-2</v>
      </c>
      <c r="H11" s="62">
        <f>'Company Data'!R10</f>
        <v>0.24</v>
      </c>
      <c r="I11" s="4">
        <v>0.24</v>
      </c>
      <c r="J11" s="4">
        <f t="shared" ref="J11:J16" si="2">I11/(1+F11*(1-H11))</f>
        <v>0.23810386050365193</v>
      </c>
    </row>
    <row r="12" spans="2:10" x14ac:dyDescent="0.3">
      <c r="B12" t="s">
        <v>286</v>
      </c>
      <c r="D12" s="4">
        <f>'Company Valuation'!F11</f>
        <v>16213.34</v>
      </c>
      <c r="E12" s="4">
        <f>'Company Valuation'!G11</f>
        <v>302.73</v>
      </c>
      <c r="F12" s="40">
        <f t="shared" si="0"/>
        <v>1.8671661730402252E-2</v>
      </c>
      <c r="G12" s="40">
        <f t="shared" si="1"/>
        <v>1.8329420982110153E-2</v>
      </c>
      <c r="H12" s="62">
        <f>'Company Data'!R11</f>
        <v>0.31</v>
      </c>
      <c r="I12" s="4">
        <v>0.3</v>
      </c>
      <c r="J12" s="4">
        <f t="shared" si="2"/>
        <v>0.29618412760995333</v>
      </c>
    </row>
    <row r="13" spans="2:10" x14ac:dyDescent="0.3">
      <c r="B13" t="s">
        <v>287</v>
      </c>
      <c r="D13" s="4">
        <f>'Company Valuation'!F12</f>
        <v>13529.69</v>
      </c>
      <c r="E13" s="4">
        <f>'Company Valuation'!G12</f>
        <v>79.099999999999994</v>
      </c>
      <c r="F13" s="40">
        <f t="shared" si="0"/>
        <v>5.8464015066124935E-3</v>
      </c>
      <c r="G13" s="40">
        <f t="shared" si="1"/>
        <v>5.8124197669300499E-3</v>
      </c>
      <c r="H13" s="62">
        <f>'Company Data'!R12</f>
        <v>0.17</v>
      </c>
      <c r="I13" s="4">
        <v>0.43</v>
      </c>
      <c r="J13" s="4">
        <f t="shared" si="2"/>
        <v>0.42792349556756309</v>
      </c>
    </row>
    <row r="14" spans="2:10" x14ac:dyDescent="0.3">
      <c r="B14" t="s">
        <v>288</v>
      </c>
      <c r="D14" s="4">
        <f>'Company Valuation'!F13</f>
        <v>5272.62</v>
      </c>
      <c r="E14" s="4">
        <f>'Company Valuation'!G13</f>
        <v>18.37</v>
      </c>
      <c r="F14" s="40">
        <f t="shared" si="0"/>
        <v>3.4840363993612288E-3</v>
      </c>
      <c r="G14" s="40">
        <f t="shared" si="1"/>
        <v>3.4719400339066984E-3</v>
      </c>
      <c r="H14" s="62">
        <f>'Company Data'!R13</f>
        <v>0.26</v>
      </c>
      <c r="I14" s="4">
        <v>0.51</v>
      </c>
      <c r="J14" s="4">
        <f t="shared" si="2"/>
        <v>0.50868850593973336</v>
      </c>
    </row>
    <row r="15" spans="2:10" x14ac:dyDescent="0.3">
      <c r="B15" t="s">
        <v>289</v>
      </c>
      <c r="D15" s="4">
        <f>'Company Valuation'!F14</f>
        <v>2284.7600000000002</v>
      </c>
      <c r="E15" s="4">
        <f>'Company Valuation'!G14</f>
        <v>32.32</v>
      </c>
      <c r="F15" s="40">
        <f t="shared" si="0"/>
        <v>1.4145905915719811E-2</v>
      </c>
      <c r="G15" s="40">
        <f t="shared" si="1"/>
        <v>1.3948590467312305E-2</v>
      </c>
      <c r="H15" s="62">
        <f>'Company Data'!R14</f>
        <v>0.25</v>
      </c>
      <c r="I15" s="4">
        <v>0.7</v>
      </c>
      <c r="J15" s="4">
        <f t="shared" si="2"/>
        <v>0.69265136422693807</v>
      </c>
    </row>
    <row r="16" spans="2:10" x14ac:dyDescent="0.3">
      <c r="B16" t="s">
        <v>290</v>
      </c>
      <c r="D16" s="4">
        <f>'Company Valuation'!F15</f>
        <v>579.38</v>
      </c>
      <c r="E16" s="4">
        <f>'Company Valuation'!G15</f>
        <v>164.76</v>
      </c>
      <c r="F16" s="40">
        <f t="shared" si="0"/>
        <v>0.28437295039525007</v>
      </c>
      <c r="G16" s="40">
        <f t="shared" si="1"/>
        <v>0.22140994974064018</v>
      </c>
      <c r="H16" s="62">
        <f>'Company Data'!R15</f>
        <v>-0.01</v>
      </c>
      <c r="I16" s="4">
        <v>0.28000000000000003</v>
      </c>
      <c r="J16" s="4">
        <f t="shared" si="2"/>
        <v>0.21752359518983691</v>
      </c>
    </row>
    <row r="18" spans="2:10" x14ac:dyDescent="0.3">
      <c r="B18" s="63" t="s">
        <v>302</v>
      </c>
      <c r="C18" s="64"/>
      <c r="D18" s="64"/>
      <c r="E18" s="64"/>
      <c r="F18" s="65">
        <f>AVERAGE(F10:F16)</f>
        <v>5.0264052454944329E-2</v>
      </c>
      <c r="G18" s="65">
        <f t="shared" ref="G18:I18" si="3">AVERAGE(G10:G16)</f>
        <v>4.1139115147579806E-2</v>
      </c>
      <c r="H18" s="65">
        <f t="shared" si="3"/>
        <v>0.21285714285714286</v>
      </c>
      <c r="I18" s="66">
        <f t="shared" si="3"/>
        <v>0.36857142857142861</v>
      </c>
      <c r="J18" s="66">
        <f>AVERAGE(J10:J16)</f>
        <v>0.35711258782672611</v>
      </c>
    </row>
    <row r="19" spans="2:10" x14ac:dyDescent="0.3">
      <c r="B19" s="63" t="s">
        <v>303</v>
      </c>
      <c r="C19" s="64"/>
      <c r="D19" s="64"/>
      <c r="E19" s="64"/>
      <c r="F19" s="65">
        <f>MEDIAN(F10:F16)</f>
        <v>1.4145905915719811E-2</v>
      </c>
      <c r="G19" s="65">
        <f t="shared" ref="G19:J19" si="4">MEDIAN(G10:G16)</f>
        <v>1.3948590467312305E-2</v>
      </c>
      <c r="H19" s="65">
        <f t="shared" si="4"/>
        <v>0.25</v>
      </c>
      <c r="I19" s="64">
        <f t="shared" si="4"/>
        <v>0.3</v>
      </c>
      <c r="J19" s="66">
        <f t="shared" si="4"/>
        <v>0.29618412760995333</v>
      </c>
    </row>
    <row r="21" spans="2:10" x14ac:dyDescent="0.3">
      <c r="B21" s="67" t="str">
        <f>B10</f>
        <v>Asian Paints</v>
      </c>
      <c r="C21" s="71"/>
      <c r="D21" s="71">
        <f t="shared" ref="D21:J21" si="5">D10</f>
        <v>264590</v>
      </c>
      <c r="E21" s="71">
        <f t="shared" si="5"/>
        <v>3928.93</v>
      </c>
      <c r="F21" s="70">
        <f t="shared" si="5"/>
        <v>1.4849125061415775E-2</v>
      </c>
      <c r="G21" s="70">
        <f t="shared" si="5"/>
        <v>1.4631854819323166E-2</v>
      </c>
      <c r="H21" s="69">
        <f t="shared" si="5"/>
        <v>0.27</v>
      </c>
      <c r="I21" s="67">
        <f t="shared" si="5"/>
        <v>0.12</v>
      </c>
      <c r="J21" s="68">
        <f t="shared" si="5"/>
        <v>0.11871316574940585</v>
      </c>
    </row>
    <row r="23" spans="2:10" x14ac:dyDescent="0.3">
      <c r="B23" s="2" t="s">
        <v>318</v>
      </c>
      <c r="C23" s="2"/>
      <c r="D23" s="2"/>
      <c r="E23" s="2"/>
      <c r="F23" s="2"/>
      <c r="G23" s="2"/>
      <c r="H23" s="2"/>
      <c r="I23" s="2"/>
      <c r="J23" s="2"/>
    </row>
    <row r="25" spans="2:10" x14ac:dyDescent="0.3">
      <c r="B25" s="63" t="s">
        <v>319</v>
      </c>
      <c r="C25" s="64"/>
      <c r="D25" s="64"/>
    </row>
    <row r="27" spans="2:10" x14ac:dyDescent="0.3">
      <c r="B27" t="s">
        <v>320</v>
      </c>
      <c r="D27" s="72">
        <f>G18</f>
        <v>4.1139115147579806E-2</v>
      </c>
    </row>
    <row r="28" spans="2:10" x14ac:dyDescent="0.3">
      <c r="B28" t="s">
        <v>321</v>
      </c>
      <c r="D28" s="72">
        <f>1-D27</f>
        <v>0.95886088485242016</v>
      </c>
    </row>
    <row r="30" spans="2:10" x14ac:dyDescent="0.3">
      <c r="B30" s="63" t="s">
        <v>322</v>
      </c>
      <c r="C30" s="64"/>
      <c r="D30" s="64"/>
    </row>
    <row r="32" spans="2:10" x14ac:dyDescent="0.3">
      <c r="B32" t="s">
        <v>323</v>
      </c>
      <c r="D32" s="44">
        <f>D21</f>
        <v>264590</v>
      </c>
    </row>
    <row r="33" spans="2:4" x14ac:dyDescent="0.3">
      <c r="B33" t="s">
        <v>312</v>
      </c>
      <c r="D33" s="44">
        <f>E21</f>
        <v>3928.93</v>
      </c>
    </row>
    <row r="34" spans="2:4" x14ac:dyDescent="0.3">
      <c r="B34" t="s">
        <v>313</v>
      </c>
      <c r="D34" s="39">
        <f>D33/D32</f>
        <v>1.4849125061415775E-2</v>
      </c>
    </row>
    <row r="36" spans="2:4" x14ac:dyDescent="0.3">
      <c r="B36" s="63" t="s">
        <v>324</v>
      </c>
      <c r="C36" s="64"/>
      <c r="D36" s="64"/>
    </row>
    <row r="38" spans="2:4" x14ac:dyDescent="0.3">
      <c r="B38" t="s">
        <v>325</v>
      </c>
      <c r="D38" s="39">
        <v>7.4999999999999997E-2</v>
      </c>
    </row>
    <row r="39" spans="2:4" x14ac:dyDescent="0.3">
      <c r="B39" t="s">
        <v>315</v>
      </c>
      <c r="D39" s="73">
        <f>Model!J20</f>
        <v>0.2621073459569862</v>
      </c>
    </row>
    <row r="40" spans="2:4" x14ac:dyDescent="0.3">
      <c r="B40" s="6" t="s">
        <v>326</v>
      </c>
      <c r="C40" s="6"/>
      <c r="D40" s="74">
        <f>D38*(1-D39)</f>
        <v>5.5341949053226029E-2</v>
      </c>
    </row>
    <row r="42" spans="2:4" x14ac:dyDescent="0.3">
      <c r="B42" s="63" t="s">
        <v>327</v>
      </c>
      <c r="C42" s="64"/>
      <c r="D42" s="64"/>
    </row>
    <row r="44" spans="2:4" x14ac:dyDescent="0.3">
      <c r="B44" t="s">
        <v>328</v>
      </c>
      <c r="D44" s="72">
        <v>6.7599999999999993E-2</v>
      </c>
    </row>
    <row r="45" spans="2:4" x14ac:dyDescent="0.3">
      <c r="B45" t="s">
        <v>329</v>
      </c>
      <c r="D45" s="73">
        <f>'Index Data'!F10</f>
        <v>0.10740432415258705</v>
      </c>
    </row>
    <row r="46" spans="2:4" x14ac:dyDescent="0.3">
      <c r="B46" t="s">
        <v>330</v>
      </c>
      <c r="D46" s="39">
        <f>D45-D44</f>
        <v>3.9804324152587056E-2</v>
      </c>
    </row>
    <row r="47" spans="2:4" x14ac:dyDescent="0.3">
      <c r="B47" t="s">
        <v>331</v>
      </c>
      <c r="D47" s="57">
        <f>J19*(1+D34*(1-D39))</f>
        <v>0.29942943495660712</v>
      </c>
    </row>
    <row r="48" spans="2:4" x14ac:dyDescent="0.3">
      <c r="B48" s="5" t="s">
        <v>327</v>
      </c>
      <c r="C48" s="5"/>
      <c r="D48" s="75">
        <f>D44+(D46*D47)</f>
        <v>7.9518586289838766E-2</v>
      </c>
    </row>
    <row r="50" spans="2:4" x14ac:dyDescent="0.3">
      <c r="B50" s="10" t="s">
        <v>332</v>
      </c>
      <c r="C50" s="10"/>
      <c r="D50" s="76">
        <f>(D40*D27)+(D48*D28)</f>
        <v>7.8523980826680481E-2</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2BE1C-4DC6-460C-852F-A876FF56A079}">
  <dimension ref="B2:P58"/>
  <sheetViews>
    <sheetView showGridLines="0" topLeftCell="A47" workbookViewId="0">
      <selection activeCell="H9" sqref="H9"/>
    </sheetView>
  </sheetViews>
  <sheetFormatPr defaultRowHeight="14.4" x14ac:dyDescent="0.3"/>
  <cols>
    <col min="1" max="1" width="4" customWidth="1"/>
  </cols>
  <sheetData>
    <row r="2" spans="2:12" ht="28.8" x14ac:dyDescent="0.55000000000000004">
      <c r="B2" s="16" t="s">
        <v>160</v>
      </c>
      <c r="C2" s="3"/>
      <c r="D2" s="3"/>
      <c r="E2" s="3"/>
      <c r="F2" s="3"/>
      <c r="G2" s="3"/>
      <c r="H2" s="3"/>
      <c r="I2" s="3"/>
      <c r="J2" s="3"/>
      <c r="K2" s="3"/>
    </row>
    <row r="3" spans="2:12" x14ac:dyDescent="0.3">
      <c r="B3" s="17" t="s">
        <v>161</v>
      </c>
      <c r="C3" s="3"/>
      <c r="D3" s="3"/>
      <c r="E3" s="33"/>
      <c r="F3" s="33"/>
      <c r="G3" s="33"/>
      <c r="H3" s="33"/>
      <c r="I3" s="33"/>
      <c r="J3" s="34"/>
      <c r="K3" s="34"/>
    </row>
    <row r="4" spans="2:12" x14ac:dyDescent="0.3">
      <c r="B4" s="2" t="s">
        <v>159</v>
      </c>
      <c r="C4" s="3"/>
      <c r="D4" s="3"/>
      <c r="E4" s="18"/>
      <c r="F4" s="18"/>
      <c r="G4" s="18"/>
      <c r="H4" s="18"/>
      <c r="I4" s="18"/>
      <c r="J4" s="19"/>
      <c r="K4" s="19"/>
    </row>
    <row r="6" spans="2:12" x14ac:dyDescent="0.3">
      <c r="B6" s="2"/>
      <c r="C6" s="2" t="s">
        <v>333</v>
      </c>
      <c r="D6" s="2" t="s">
        <v>377</v>
      </c>
      <c r="E6" s="2" t="s">
        <v>378</v>
      </c>
      <c r="F6" s="2" t="s">
        <v>377</v>
      </c>
      <c r="H6" s="31" t="s">
        <v>381</v>
      </c>
      <c r="I6" s="109">
        <f>MAX(E47:E58)</f>
        <v>2873.4</v>
      </c>
      <c r="K6" t="s">
        <v>408</v>
      </c>
    </row>
    <row r="7" spans="2:12" x14ac:dyDescent="0.3">
      <c r="B7" s="2" t="s">
        <v>335</v>
      </c>
      <c r="C7" s="2" t="s">
        <v>336</v>
      </c>
      <c r="D7" s="2" t="s">
        <v>379</v>
      </c>
      <c r="E7" s="2" t="s">
        <v>336</v>
      </c>
      <c r="F7" s="2" t="s">
        <v>379</v>
      </c>
      <c r="H7" s="31" t="s">
        <v>382</v>
      </c>
      <c r="I7" s="109">
        <f>MIN(E47:E58)</f>
        <v>2164.5</v>
      </c>
    </row>
    <row r="9" spans="2:12" x14ac:dyDescent="0.3">
      <c r="B9" s="106">
        <v>44743</v>
      </c>
      <c r="C9">
        <v>57570.25</v>
      </c>
      <c r="D9" s="40"/>
      <c r="E9">
        <v>3332.35</v>
      </c>
      <c r="H9" s="108" t="s">
        <v>380</v>
      </c>
      <c r="I9" s="107">
        <f>SLOPE(D10:D58,F10:F58)</f>
        <v>0.29456789828002428</v>
      </c>
    </row>
    <row r="10" spans="2:12" x14ac:dyDescent="0.3">
      <c r="B10" s="106">
        <v>44774</v>
      </c>
      <c r="C10">
        <v>59537.07</v>
      </c>
      <c r="D10" s="40">
        <f>C10/C9-1</f>
        <v>3.4163825934401926E-2</v>
      </c>
      <c r="E10">
        <v>3391.6</v>
      </c>
      <c r="F10" s="40">
        <f>E10/E9-1</f>
        <v>1.7780245172325904E-2</v>
      </c>
      <c r="H10" s="106"/>
    </row>
    <row r="11" spans="2:12" x14ac:dyDescent="0.3">
      <c r="B11" s="106">
        <v>44805</v>
      </c>
      <c r="C11">
        <v>57426.92</v>
      </c>
      <c r="D11" s="40">
        <f t="shared" ref="D11:D58" si="0">C11/C10-1</f>
        <v>-3.5442624233943731E-2</v>
      </c>
      <c r="E11">
        <v>3342.15</v>
      </c>
      <c r="F11" s="40">
        <f t="shared" ref="F11:F58" si="1">E11/E10-1</f>
        <v>-1.4580139167354567E-2</v>
      </c>
      <c r="H11" s="106"/>
    </row>
    <row r="12" spans="2:12" x14ac:dyDescent="0.3">
      <c r="B12" s="106">
        <v>44835</v>
      </c>
      <c r="C12">
        <v>60746.59</v>
      </c>
      <c r="D12" s="40">
        <f t="shared" si="0"/>
        <v>5.7806861311733293E-2</v>
      </c>
      <c r="E12">
        <v>3106.8</v>
      </c>
      <c r="F12" s="40">
        <f t="shared" si="1"/>
        <v>-7.0418742426282432E-2</v>
      </c>
      <c r="H12" t="s">
        <v>384</v>
      </c>
    </row>
    <row r="13" spans="2:12" ht="15" thickBot="1" x14ac:dyDescent="0.35">
      <c r="B13" s="106">
        <v>44866</v>
      </c>
      <c r="C13">
        <v>63099.65</v>
      </c>
      <c r="D13" s="40">
        <f t="shared" si="0"/>
        <v>3.8735672241026364E-2</v>
      </c>
      <c r="E13">
        <v>3182.3</v>
      </c>
      <c r="F13" s="40">
        <f t="shared" si="1"/>
        <v>2.4301532123084835E-2</v>
      </c>
    </row>
    <row r="14" spans="2:12" x14ac:dyDescent="0.3">
      <c r="B14" s="106">
        <v>44896</v>
      </c>
      <c r="C14">
        <v>60840.74</v>
      </c>
      <c r="D14" s="40">
        <f t="shared" si="0"/>
        <v>-3.5799089218403024E-2</v>
      </c>
      <c r="E14">
        <v>3091.8</v>
      </c>
      <c r="F14" s="40">
        <f t="shared" si="1"/>
        <v>-2.8438550733746015E-2</v>
      </c>
      <c r="H14" s="112" t="s">
        <v>385</v>
      </c>
      <c r="I14" s="112"/>
    </row>
    <row r="15" spans="2:12" x14ac:dyDescent="0.3">
      <c r="B15" s="106">
        <v>44927</v>
      </c>
      <c r="C15">
        <v>59549.9</v>
      </c>
      <c r="D15" s="40">
        <f t="shared" si="0"/>
        <v>-2.1216704464804281E-2</v>
      </c>
      <c r="E15">
        <v>2726.6</v>
      </c>
      <c r="F15" s="40">
        <f t="shared" si="1"/>
        <v>-0.11811889514198859</v>
      </c>
      <c r="H15" t="s">
        <v>386</v>
      </c>
      <c r="I15">
        <v>0.54727405776797244</v>
      </c>
    </row>
    <row r="16" spans="2:12" x14ac:dyDescent="0.3">
      <c r="B16" s="106">
        <v>44958</v>
      </c>
      <c r="C16">
        <v>58962.12</v>
      </c>
      <c r="D16" s="40">
        <f t="shared" si="0"/>
        <v>-9.8703776160833367E-3</v>
      </c>
      <c r="E16">
        <v>2829.5</v>
      </c>
      <c r="F16" s="40">
        <f t="shared" si="1"/>
        <v>3.7739309029560575E-2</v>
      </c>
      <c r="H16" t="s">
        <v>387</v>
      </c>
      <c r="I16">
        <v>0.29950889430582206</v>
      </c>
    </row>
    <row r="17" spans="2:16" x14ac:dyDescent="0.3">
      <c r="B17" s="106">
        <v>44986</v>
      </c>
      <c r="C17">
        <v>58991.519999999997</v>
      </c>
      <c r="D17" s="40">
        <f t="shared" si="0"/>
        <v>4.9862521903887291E-4</v>
      </c>
      <c r="E17">
        <v>2761.65</v>
      </c>
      <c r="F17" s="40">
        <f t="shared" si="1"/>
        <v>-2.3979501678741744E-2</v>
      </c>
      <c r="H17" t="s">
        <v>388</v>
      </c>
      <c r="I17">
        <v>0.28460482822722255</v>
      </c>
    </row>
    <row r="18" spans="2:16" x14ac:dyDescent="0.3">
      <c r="B18" s="106">
        <v>45017</v>
      </c>
      <c r="C18">
        <v>61112.44</v>
      </c>
      <c r="D18" s="40">
        <f t="shared" si="0"/>
        <v>3.5952964087041739E-2</v>
      </c>
      <c r="E18">
        <v>2901.3</v>
      </c>
      <c r="F18" s="40">
        <f t="shared" si="1"/>
        <v>5.0567595459236392E-2</v>
      </c>
      <c r="H18" t="s">
        <v>383</v>
      </c>
      <c r="I18">
        <v>3.1178675480697301E-2</v>
      </c>
    </row>
    <row r="19" spans="2:16" ht="15" thickBot="1" x14ac:dyDescent="0.35">
      <c r="B19" s="106">
        <v>45047</v>
      </c>
      <c r="C19">
        <v>62622.239999999998</v>
      </c>
      <c r="D19" s="40">
        <f t="shared" si="0"/>
        <v>2.4705280954254061E-2</v>
      </c>
      <c r="E19">
        <v>3198.2</v>
      </c>
      <c r="F19" s="40">
        <f t="shared" si="1"/>
        <v>0.10233343673525641</v>
      </c>
      <c r="H19" s="110" t="s">
        <v>389</v>
      </c>
      <c r="I19" s="110">
        <v>49</v>
      </c>
    </row>
    <row r="20" spans="2:16" x14ac:dyDescent="0.3">
      <c r="B20" s="106">
        <v>45078</v>
      </c>
      <c r="C20">
        <v>64718.559999999998</v>
      </c>
      <c r="D20" s="40">
        <f t="shared" si="0"/>
        <v>3.3475646990589913E-2</v>
      </c>
      <c r="E20">
        <v>3361.7</v>
      </c>
      <c r="F20" s="40">
        <f t="shared" si="1"/>
        <v>5.1122506409855495E-2</v>
      </c>
    </row>
    <row r="21" spans="2:16" ht="15" thickBot="1" x14ac:dyDescent="0.35">
      <c r="B21" s="106">
        <v>45108</v>
      </c>
      <c r="C21">
        <v>66527.67</v>
      </c>
      <c r="D21" s="40">
        <f t="shared" si="0"/>
        <v>2.7953495875062684E-2</v>
      </c>
      <c r="E21">
        <v>3374.95</v>
      </c>
      <c r="F21" s="40">
        <f t="shared" si="1"/>
        <v>3.9414581907963875E-3</v>
      </c>
      <c r="H21" t="s">
        <v>390</v>
      </c>
    </row>
    <row r="22" spans="2:16" x14ac:dyDescent="0.3">
      <c r="B22" s="106">
        <v>45139</v>
      </c>
      <c r="C22">
        <v>64831.41</v>
      </c>
      <c r="D22" s="40">
        <f t="shared" si="0"/>
        <v>-2.5497060095445945E-2</v>
      </c>
      <c r="E22">
        <v>3250.65</v>
      </c>
      <c r="F22" s="40">
        <f t="shared" si="1"/>
        <v>-3.6830175261855613E-2</v>
      </c>
      <c r="H22" s="111"/>
      <c r="I22" s="111" t="s">
        <v>395</v>
      </c>
      <c r="J22" s="111" t="s">
        <v>396</v>
      </c>
      <c r="K22" s="111" t="s">
        <v>397</v>
      </c>
      <c r="L22" s="111" t="s">
        <v>398</v>
      </c>
      <c r="M22" s="111" t="s">
        <v>399</v>
      </c>
    </row>
    <row r="23" spans="2:16" x14ac:dyDescent="0.3">
      <c r="B23" s="106">
        <v>45170</v>
      </c>
      <c r="C23">
        <v>65828.41</v>
      </c>
      <c r="D23" s="40">
        <f t="shared" si="0"/>
        <v>1.5378348242001794E-2</v>
      </c>
      <c r="E23">
        <v>3161.35</v>
      </c>
      <c r="F23" s="40">
        <f t="shared" si="1"/>
        <v>-2.7471428791164931E-2</v>
      </c>
      <c r="H23" t="s">
        <v>391</v>
      </c>
      <c r="I23">
        <v>1</v>
      </c>
      <c r="J23">
        <v>1.9535308768979888E-2</v>
      </c>
      <c r="K23">
        <v>1.9535308768979888E-2</v>
      </c>
      <c r="L23">
        <v>20.095784111953265</v>
      </c>
      <c r="M23">
        <v>4.715962189905336E-5</v>
      </c>
    </row>
    <row r="24" spans="2:16" x14ac:dyDescent="0.3">
      <c r="B24" s="106">
        <v>45200</v>
      </c>
      <c r="C24">
        <v>63874.93</v>
      </c>
      <c r="D24" s="40">
        <f t="shared" si="0"/>
        <v>-2.9675333188208586E-2</v>
      </c>
      <c r="E24">
        <v>2996.35</v>
      </c>
      <c r="F24" s="40">
        <f t="shared" si="1"/>
        <v>-5.2192892277033498E-2</v>
      </c>
      <c r="H24" t="s">
        <v>392</v>
      </c>
      <c r="I24">
        <v>47</v>
      </c>
      <c r="J24">
        <v>4.5689160822339848E-2</v>
      </c>
      <c r="K24">
        <v>9.7210980473063507E-4</v>
      </c>
    </row>
    <row r="25" spans="2:16" ht="15" thickBot="1" x14ac:dyDescent="0.35">
      <c r="B25" s="106">
        <v>45231</v>
      </c>
      <c r="C25">
        <v>66988.44</v>
      </c>
      <c r="D25" s="40">
        <f t="shared" si="0"/>
        <v>4.8743849895412916E-2</v>
      </c>
      <c r="E25">
        <v>3120</v>
      </c>
      <c r="F25" s="40">
        <f t="shared" si="1"/>
        <v>4.1266874697548639E-2</v>
      </c>
      <c r="H25" s="110" t="s">
        <v>393</v>
      </c>
      <c r="I25" s="110">
        <v>48</v>
      </c>
      <c r="J25" s="110">
        <v>6.5224469591319736E-2</v>
      </c>
      <c r="K25" s="110"/>
      <c r="L25" s="110"/>
      <c r="M25" s="110"/>
    </row>
    <row r="26" spans="2:16" ht="15" thickBot="1" x14ac:dyDescent="0.35">
      <c r="B26" s="106">
        <v>45261</v>
      </c>
      <c r="C26">
        <v>72240.259999999995</v>
      </c>
      <c r="D26" s="40">
        <f t="shared" si="0"/>
        <v>7.8398899869887906E-2</v>
      </c>
      <c r="E26">
        <v>3402.1</v>
      </c>
      <c r="F26" s="40">
        <f t="shared" si="1"/>
        <v>9.041666666666659E-2</v>
      </c>
    </row>
    <row r="27" spans="2:16" x14ac:dyDescent="0.3">
      <c r="B27" s="106">
        <v>45292</v>
      </c>
      <c r="C27">
        <v>71752.11</v>
      </c>
      <c r="D27" s="40">
        <f t="shared" si="0"/>
        <v>-6.7573123352545617E-3</v>
      </c>
      <c r="E27">
        <v>2958</v>
      </c>
      <c r="F27" s="40">
        <f t="shared" si="1"/>
        <v>-0.13053702125157984</v>
      </c>
      <c r="H27" s="111"/>
      <c r="I27" s="111" t="s">
        <v>400</v>
      </c>
      <c r="J27" s="111" t="s">
        <v>383</v>
      </c>
      <c r="K27" s="111" t="s">
        <v>401</v>
      </c>
      <c r="L27" s="111" t="s">
        <v>402</v>
      </c>
      <c r="M27" s="111" t="s">
        <v>403</v>
      </c>
      <c r="N27" s="111" t="s">
        <v>404</v>
      </c>
      <c r="O27" s="111" t="s">
        <v>405</v>
      </c>
      <c r="P27" s="111" t="s">
        <v>406</v>
      </c>
    </row>
    <row r="28" spans="2:16" x14ac:dyDescent="0.3">
      <c r="B28" s="106">
        <v>45323</v>
      </c>
      <c r="C28">
        <v>72500.3</v>
      </c>
      <c r="D28" s="40">
        <f t="shared" si="0"/>
        <v>1.0427428545306983E-2</v>
      </c>
      <c r="E28">
        <v>2825.4</v>
      </c>
      <c r="F28" s="40">
        <f t="shared" si="1"/>
        <v>-4.482758620689653E-2</v>
      </c>
      <c r="H28" t="s">
        <v>394</v>
      </c>
      <c r="I28">
        <v>7.5488525171654944E-3</v>
      </c>
      <c r="J28">
        <v>4.455656848745675E-3</v>
      </c>
      <c r="K28">
        <v>1.6942176593537706</v>
      </c>
      <c r="L28">
        <v>9.6841602451606723E-2</v>
      </c>
      <c r="M28">
        <v>-1.4147728807336838E-3</v>
      </c>
      <c r="N28">
        <v>1.6512477915064674E-2</v>
      </c>
      <c r="O28">
        <v>-1.4147728807336838E-3</v>
      </c>
      <c r="P28">
        <v>1.6512477915064674E-2</v>
      </c>
    </row>
    <row r="29" spans="2:16" ht="15" thickBot="1" x14ac:dyDescent="0.35">
      <c r="B29" s="106">
        <v>45352</v>
      </c>
      <c r="C29">
        <v>73651.350000000006</v>
      </c>
      <c r="D29" s="40">
        <f t="shared" si="0"/>
        <v>1.5876486028333803E-2</v>
      </c>
      <c r="E29">
        <v>2846</v>
      </c>
      <c r="F29" s="40">
        <f t="shared" si="1"/>
        <v>7.2910030438166906E-3</v>
      </c>
      <c r="H29" s="110" t="s">
        <v>407</v>
      </c>
      <c r="I29" s="110">
        <v>0.29456789828002417</v>
      </c>
      <c r="J29" s="110">
        <v>6.5710222517035496E-2</v>
      </c>
      <c r="K29" s="110">
        <v>4.482832152998065</v>
      </c>
      <c r="L29" s="110">
        <v>4.715962189905336E-5</v>
      </c>
      <c r="M29" s="110">
        <v>0.16237598147630589</v>
      </c>
      <c r="N29" s="110">
        <v>0.42675981508374244</v>
      </c>
      <c r="O29" s="110">
        <v>0.16237598147630589</v>
      </c>
      <c r="P29" s="110">
        <v>0.42675981508374244</v>
      </c>
    </row>
    <row r="30" spans="2:16" x14ac:dyDescent="0.3">
      <c r="B30" s="106">
        <v>45383</v>
      </c>
      <c r="C30">
        <v>74482.78</v>
      </c>
      <c r="D30" s="40">
        <f t="shared" si="0"/>
        <v>1.1288727226316908E-2</v>
      </c>
      <c r="E30">
        <v>2877.05</v>
      </c>
      <c r="F30" s="40">
        <f t="shared" si="1"/>
        <v>1.0910049191848348E-2</v>
      </c>
    </row>
    <row r="31" spans="2:16" x14ac:dyDescent="0.3">
      <c r="B31" s="106">
        <v>45413</v>
      </c>
      <c r="C31">
        <v>73961.31</v>
      </c>
      <c r="D31" s="40">
        <f t="shared" si="0"/>
        <v>-7.0012155829843881E-3</v>
      </c>
      <c r="E31">
        <v>2877.7</v>
      </c>
      <c r="F31" s="40">
        <f t="shared" si="1"/>
        <v>2.2592586155956162E-4</v>
      </c>
    </row>
    <row r="32" spans="2:16" x14ac:dyDescent="0.3">
      <c r="B32" s="106">
        <v>45444</v>
      </c>
      <c r="C32">
        <v>79032.73</v>
      </c>
      <c r="D32" s="40">
        <f t="shared" si="0"/>
        <v>6.8568552936663751E-2</v>
      </c>
      <c r="E32">
        <v>2917.3</v>
      </c>
      <c r="F32" s="40">
        <f t="shared" si="1"/>
        <v>1.3760989679257873E-2</v>
      </c>
    </row>
    <row r="33" spans="2:8" x14ac:dyDescent="0.3">
      <c r="B33" s="106">
        <v>45474</v>
      </c>
      <c r="C33">
        <v>81741.34</v>
      </c>
      <c r="D33" s="40">
        <f t="shared" si="0"/>
        <v>3.427200351044446E-2</v>
      </c>
      <c r="E33">
        <v>3082.3</v>
      </c>
      <c r="F33" s="40">
        <f t="shared" si="1"/>
        <v>5.6559147156617362E-2</v>
      </c>
      <c r="H33" s="106"/>
    </row>
    <row r="34" spans="2:8" x14ac:dyDescent="0.3">
      <c r="B34" s="106">
        <v>45505</v>
      </c>
      <c r="C34">
        <v>82365.77</v>
      </c>
      <c r="D34" s="40">
        <f t="shared" si="0"/>
        <v>7.6390966920778514E-3</v>
      </c>
      <c r="E34">
        <v>3126.8</v>
      </c>
      <c r="F34" s="40">
        <f t="shared" si="1"/>
        <v>1.4437270869156249E-2</v>
      </c>
      <c r="H34" s="106"/>
    </row>
    <row r="35" spans="2:8" x14ac:dyDescent="0.3">
      <c r="B35" s="106">
        <v>45536</v>
      </c>
      <c r="C35">
        <v>84299.78</v>
      </c>
      <c r="D35" s="40">
        <f t="shared" si="0"/>
        <v>2.3480749345268004E-2</v>
      </c>
      <c r="E35">
        <v>3328.4</v>
      </c>
      <c r="F35" s="40">
        <f t="shared" si="1"/>
        <v>6.447486247921197E-2</v>
      </c>
      <c r="H35" s="106"/>
    </row>
    <row r="36" spans="2:8" x14ac:dyDescent="0.3">
      <c r="B36" s="106">
        <v>45566</v>
      </c>
      <c r="C36">
        <v>79389.06</v>
      </c>
      <c r="D36" s="40">
        <f t="shared" si="0"/>
        <v>-5.8253058311658723E-2</v>
      </c>
      <c r="E36">
        <v>2938.1</v>
      </c>
      <c r="F36" s="40">
        <f t="shared" si="1"/>
        <v>-0.11726355005408007</v>
      </c>
      <c r="H36" s="106"/>
    </row>
    <row r="37" spans="2:8" x14ac:dyDescent="0.3">
      <c r="B37" s="106">
        <v>45597</v>
      </c>
      <c r="C37">
        <v>79802.789999999994</v>
      </c>
      <c r="D37" s="40">
        <f t="shared" si="0"/>
        <v>5.2114233371700625E-3</v>
      </c>
      <c r="E37">
        <v>2479.9499999999998</v>
      </c>
      <c r="F37" s="40">
        <f t="shared" si="1"/>
        <v>-0.15593410707600153</v>
      </c>
      <c r="H37" s="106"/>
    </row>
    <row r="38" spans="2:8" x14ac:dyDescent="0.3">
      <c r="B38" s="106">
        <v>45627</v>
      </c>
      <c r="C38">
        <v>78139.009999999995</v>
      </c>
      <c r="D38" s="40">
        <f t="shared" si="0"/>
        <v>-2.0848644514809611E-2</v>
      </c>
      <c r="E38">
        <v>2282.0500000000002</v>
      </c>
      <c r="F38" s="40">
        <f t="shared" si="1"/>
        <v>-7.979999596766052E-2</v>
      </c>
      <c r="H38" s="106"/>
    </row>
    <row r="39" spans="2:8" x14ac:dyDescent="0.3">
      <c r="B39" s="106">
        <v>45658</v>
      </c>
      <c r="C39">
        <v>77500.570000000007</v>
      </c>
      <c r="D39" s="40">
        <f t="shared" si="0"/>
        <v>-8.1705667885987321E-3</v>
      </c>
      <c r="E39">
        <v>2301.0500000000002</v>
      </c>
      <c r="F39" s="40">
        <f t="shared" si="1"/>
        <v>8.3258473740714933E-3</v>
      </c>
      <c r="H39" s="106"/>
    </row>
    <row r="40" spans="2:8" x14ac:dyDescent="0.3">
      <c r="B40" s="106">
        <v>45689</v>
      </c>
      <c r="C40">
        <v>73198.100000000006</v>
      </c>
      <c r="D40" s="40">
        <f t="shared" si="0"/>
        <v>-5.5515333629159169E-2</v>
      </c>
      <c r="E40">
        <v>2179.9499999999998</v>
      </c>
      <c r="F40" s="40">
        <f t="shared" si="1"/>
        <v>-5.2628148019382648E-2</v>
      </c>
      <c r="H40" s="106"/>
    </row>
    <row r="41" spans="2:8" x14ac:dyDescent="0.3">
      <c r="B41" s="106">
        <v>45717</v>
      </c>
      <c r="C41">
        <v>77414.92</v>
      </c>
      <c r="D41" s="40">
        <f t="shared" si="0"/>
        <v>5.760832589916931E-2</v>
      </c>
      <c r="E41">
        <v>2337.6999999999998</v>
      </c>
      <c r="F41" s="40">
        <f t="shared" si="1"/>
        <v>7.2364045046904746E-2</v>
      </c>
      <c r="H41" s="106"/>
    </row>
    <row r="42" spans="2:8" x14ac:dyDescent="0.3">
      <c r="B42" s="106">
        <v>45748</v>
      </c>
      <c r="C42">
        <v>80242.240000000005</v>
      </c>
      <c r="D42" s="40">
        <f t="shared" si="0"/>
        <v>3.652164208139741E-2</v>
      </c>
      <c r="E42">
        <v>2423.3000000000002</v>
      </c>
      <c r="F42" s="40">
        <f t="shared" si="1"/>
        <v>3.6617187834196097E-2</v>
      </c>
      <c r="H42" s="106"/>
    </row>
    <row r="43" spans="2:8" x14ac:dyDescent="0.3">
      <c r="B43" s="106">
        <v>45778</v>
      </c>
      <c r="C43">
        <v>81451.009999999995</v>
      </c>
      <c r="D43" s="40">
        <f t="shared" si="0"/>
        <v>1.5064011174164449E-2</v>
      </c>
      <c r="E43">
        <v>2260.0500000000002</v>
      </c>
      <c r="F43" s="40">
        <f t="shared" si="1"/>
        <v>-6.7366813848883766E-2</v>
      </c>
      <c r="H43" s="106"/>
    </row>
    <row r="44" spans="2:8" x14ac:dyDescent="0.3">
      <c r="B44" s="106">
        <v>45809</v>
      </c>
      <c r="C44">
        <v>83606.460000000006</v>
      </c>
      <c r="D44" s="40">
        <f t="shared" si="0"/>
        <v>2.6463146374735125E-2</v>
      </c>
      <c r="E44">
        <v>2341.35</v>
      </c>
      <c r="F44" s="40">
        <f t="shared" si="1"/>
        <v>3.5972655472223947E-2</v>
      </c>
      <c r="H44" s="106"/>
    </row>
    <row r="45" spans="2:8" x14ac:dyDescent="0.3">
      <c r="B45" s="106">
        <v>45839</v>
      </c>
      <c r="C45">
        <v>81185.58</v>
      </c>
      <c r="D45" s="40">
        <f t="shared" si="0"/>
        <v>-2.89556572542361E-2</v>
      </c>
      <c r="E45">
        <v>2396</v>
      </c>
      <c r="F45" s="40">
        <f t="shared" si="1"/>
        <v>2.3341234757725315E-2</v>
      </c>
      <c r="H45" s="106"/>
    </row>
    <row r="46" spans="2:8" x14ac:dyDescent="0.3">
      <c r="B46" s="106">
        <v>45870</v>
      </c>
      <c r="C46">
        <v>79809.649999999994</v>
      </c>
      <c r="D46" s="40">
        <f t="shared" si="0"/>
        <v>-1.6947960462929568E-2</v>
      </c>
      <c r="E46">
        <v>2517.4</v>
      </c>
      <c r="F46" s="40">
        <f t="shared" si="1"/>
        <v>5.0667779632721288E-2</v>
      </c>
      <c r="H46" s="106"/>
    </row>
    <row r="47" spans="2:8" x14ac:dyDescent="0.3">
      <c r="B47" s="106">
        <v>45901</v>
      </c>
      <c r="C47">
        <v>80267.62</v>
      </c>
      <c r="D47" s="40">
        <f t="shared" si="0"/>
        <v>5.7382785164450389E-3</v>
      </c>
      <c r="E47">
        <v>2350.15</v>
      </c>
      <c r="F47" s="40">
        <f t="shared" si="1"/>
        <v>-6.6437594343370154E-2</v>
      </c>
      <c r="H47" s="106"/>
    </row>
    <row r="48" spans="2:8" x14ac:dyDescent="0.3">
      <c r="B48" s="106">
        <v>45931</v>
      </c>
      <c r="C48">
        <v>83938.71</v>
      </c>
      <c r="D48" s="40">
        <f t="shared" si="0"/>
        <v>4.5735627890798547E-2</v>
      </c>
      <c r="E48">
        <v>2510</v>
      </c>
      <c r="F48" s="40">
        <f t="shared" si="1"/>
        <v>6.8016935089249664E-2</v>
      </c>
      <c r="H48" s="106"/>
    </row>
    <row r="49" spans="2:8" x14ac:dyDescent="0.3">
      <c r="B49" s="106">
        <v>45962</v>
      </c>
      <c r="C49">
        <v>85706.67</v>
      </c>
      <c r="D49" s="40">
        <f t="shared" si="0"/>
        <v>2.1062510967823966E-2</v>
      </c>
      <c r="E49">
        <v>2873.4</v>
      </c>
      <c r="F49" s="40">
        <f t="shared" si="1"/>
        <v>0.14478087649402394</v>
      </c>
      <c r="H49" s="106"/>
    </row>
    <row r="50" spans="2:8" x14ac:dyDescent="0.3">
      <c r="B50" s="106">
        <v>45992</v>
      </c>
      <c r="C50">
        <v>85220.6</v>
      </c>
      <c r="D50" s="40">
        <f t="shared" si="0"/>
        <v>-5.6713205634986164E-3</v>
      </c>
      <c r="E50">
        <v>2769.65</v>
      </c>
      <c r="F50" s="40">
        <f t="shared" si="1"/>
        <v>-3.6107050880490044E-2</v>
      </c>
      <c r="H50" s="106"/>
    </row>
    <row r="51" spans="2:8" x14ac:dyDescent="0.3">
      <c r="B51" s="106">
        <v>46023</v>
      </c>
      <c r="C51">
        <v>82269.78</v>
      </c>
      <c r="D51" s="40">
        <f t="shared" si="0"/>
        <v>-3.4625665625447444E-2</v>
      </c>
      <c r="E51">
        <v>2428.65</v>
      </c>
      <c r="F51" s="40">
        <f t="shared" si="1"/>
        <v>-0.12312024985106418</v>
      </c>
      <c r="H51" s="106"/>
    </row>
    <row r="52" spans="2:8" x14ac:dyDescent="0.3">
      <c r="B52" s="106">
        <v>46054</v>
      </c>
      <c r="C52">
        <v>81287.19</v>
      </c>
      <c r="D52" s="40">
        <f t="shared" si="0"/>
        <v>-1.1943510727754458E-2</v>
      </c>
      <c r="E52">
        <v>2376.25</v>
      </c>
      <c r="F52" s="40">
        <f t="shared" si="1"/>
        <v>-2.1575772548535266E-2</v>
      </c>
      <c r="H52" s="106"/>
    </row>
    <row r="53" spans="2:8" x14ac:dyDescent="0.3">
      <c r="B53" s="106">
        <v>46082</v>
      </c>
      <c r="C53">
        <v>71947.55</v>
      </c>
      <c r="D53" s="40">
        <f t="shared" si="0"/>
        <v>-0.11489682445659644</v>
      </c>
      <c r="E53">
        <v>2164.5</v>
      </c>
      <c r="F53" s="40">
        <f t="shared" si="1"/>
        <v>-8.9110994213571826E-2</v>
      </c>
      <c r="H53" s="106"/>
    </row>
    <row r="54" spans="2:8" x14ac:dyDescent="0.3">
      <c r="B54" s="106">
        <v>46113</v>
      </c>
      <c r="C54">
        <v>76913.5</v>
      </c>
      <c r="D54" s="40">
        <f t="shared" si="0"/>
        <v>6.9021808247813787E-2</v>
      </c>
      <c r="E54">
        <v>2444.6</v>
      </c>
      <c r="F54" s="40">
        <f t="shared" si="1"/>
        <v>0.12940632940632946</v>
      </c>
      <c r="H54" s="106"/>
    </row>
    <row r="55" spans="2:8" x14ac:dyDescent="0.3">
      <c r="B55" s="106">
        <v>46143</v>
      </c>
      <c r="C55">
        <v>74775.740000000005</v>
      </c>
      <c r="D55" s="40">
        <f t="shared" si="0"/>
        <v>-2.7794340395379202E-2</v>
      </c>
      <c r="E55">
        <v>2672.1</v>
      </c>
      <c r="F55" s="40">
        <f t="shared" si="1"/>
        <v>9.3062259674384418E-2</v>
      </c>
      <c r="H55" s="106"/>
    </row>
    <row r="56" spans="2:8" x14ac:dyDescent="0.3">
      <c r="B56" s="106">
        <v>46174</v>
      </c>
      <c r="C56">
        <v>76478.67</v>
      </c>
      <c r="D56" s="40">
        <f t="shared" si="0"/>
        <v>2.2773830121908478E-2</v>
      </c>
      <c r="E56">
        <v>2637.5</v>
      </c>
      <c r="F56" s="40">
        <f t="shared" si="1"/>
        <v>-1.2948617192470313E-2</v>
      </c>
      <c r="H56" s="106"/>
    </row>
    <row r="57" spans="2:8" x14ac:dyDescent="0.3">
      <c r="B57" s="106">
        <v>46204</v>
      </c>
      <c r="C57">
        <v>78094.64</v>
      </c>
      <c r="D57" s="40">
        <f t="shared" si="0"/>
        <v>2.1129682302268193E-2</v>
      </c>
      <c r="E57">
        <v>2748.5</v>
      </c>
      <c r="F57" s="40">
        <f t="shared" si="1"/>
        <v>4.208530805687194E-2</v>
      </c>
      <c r="H57" s="106"/>
    </row>
    <row r="58" spans="2:8" x14ac:dyDescent="0.3">
      <c r="B58" s="106">
        <v>46235</v>
      </c>
      <c r="C58">
        <v>78499.17</v>
      </c>
      <c r="D58" s="40">
        <f t="shared" si="0"/>
        <v>5.1799969882695418E-3</v>
      </c>
      <c r="E58">
        <v>2721</v>
      </c>
      <c r="F58" s="40">
        <f t="shared" si="1"/>
        <v>-1.0005457522284877E-2</v>
      </c>
      <c r="H58" s="106"/>
    </row>
  </sheetData>
  <sortState xmlns:xlrd2="http://schemas.microsoft.com/office/spreadsheetml/2017/richdata2" ref="B9:E58">
    <sortCondition ref="B9:B58"/>
  </sortState>
  <pageMargins left="0.7" right="0.7" top="0.75" bottom="0.75" header="0.3" footer="0.3"/>
  <ignoredErrors>
    <ignoredError sqref="I6:I7" formulaRange="1"/>
  </ignoredErrors>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D2D48-977E-44C0-9608-49910F8728C2}">
  <dimension ref="B2:Q26"/>
  <sheetViews>
    <sheetView showGridLines="0" topLeftCell="A7" workbookViewId="0">
      <selection activeCell="P24" sqref="P24"/>
    </sheetView>
  </sheetViews>
  <sheetFormatPr defaultRowHeight="14.4" x14ac:dyDescent="0.3"/>
  <cols>
    <col min="1" max="1" width="3.21875" customWidth="1"/>
    <col min="2" max="2" width="30.88671875" bestFit="1" customWidth="1"/>
    <col min="3" max="3" width="10" bestFit="1" customWidth="1"/>
    <col min="5" max="5" width="12.21875" bestFit="1" customWidth="1"/>
    <col min="6" max="6" width="13.109375" customWidth="1"/>
    <col min="7" max="7" width="11.6640625" customWidth="1"/>
    <col min="8" max="8" width="10.109375" customWidth="1"/>
    <col min="9" max="9" width="10.44140625" bestFit="1" customWidth="1"/>
  </cols>
  <sheetData>
    <row r="2" spans="2:17" ht="28.8" x14ac:dyDescent="0.55000000000000004">
      <c r="B2" s="16" t="s">
        <v>160</v>
      </c>
      <c r="C2" s="3"/>
      <c r="D2" s="3"/>
      <c r="E2" s="3"/>
      <c r="F2" s="3"/>
      <c r="G2" s="3"/>
      <c r="H2" s="3"/>
      <c r="I2" s="3"/>
      <c r="J2" s="3"/>
      <c r="K2" s="3"/>
      <c r="L2" s="3"/>
      <c r="M2" s="3"/>
      <c r="N2" s="3"/>
      <c r="O2" s="3"/>
      <c r="P2" s="3"/>
      <c r="Q2" s="3"/>
    </row>
    <row r="3" spans="2:17" x14ac:dyDescent="0.3">
      <c r="B3" s="17" t="s">
        <v>161</v>
      </c>
      <c r="C3" s="3"/>
      <c r="D3" s="3"/>
      <c r="E3" s="33"/>
      <c r="F3" s="33"/>
      <c r="G3" s="33"/>
      <c r="H3" s="33"/>
      <c r="I3" s="33"/>
      <c r="J3" s="34"/>
      <c r="K3" s="34"/>
      <c r="L3" s="34"/>
      <c r="M3" s="34"/>
      <c r="N3" s="34"/>
      <c r="O3" s="34"/>
      <c r="P3" s="34"/>
      <c r="Q3" s="34"/>
    </row>
    <row r="4" spans="2:17" x14ac:dyDescent="0.3">
      <c r="B4" s="2" t="s">
        <v>159</v>
      </c>
      <c r="C4" s="3"/>
      <c r="D4" s="3"/>
      <c r="E4" s="18"/>
      <c r="F4" s="18"/>
      <c r="G4" s="18"/>
      <c r="H4" s="18"/>
      <c r="I4" s="18"/>
      <c r="J4" s="19"/>
      <c r="K4" s="19"/>
      <c r="L4" s="19"/>
      <c r="M4" s="19"/>
      <c r="N4" s="19"/>
      <c r="O4" s="19"/>
      <c r="P4" s="19"/>
      <c r="Q4" s="19"/>
    </row>
    <row r="6" spans="2:17" x14ac:dyDescent="0.3">
      <c r="B6" s="2"/>
      <c r="C6" s="3"/>
      <c r="D6" s="162" t="s">
        <v>266</v>
      </c>
      <c r="E6" s="162"/>
      <c r="F6" s="162"/>
      <c r="G6" s="162"/>
      <c r="H6" s="162"/>
      <c r="I6" s="33"/>
      <c r="J6" s="3"/>
      <c r="K6" s="162" t="s">
        <v>267</v>
      </c>
      <c r="L6" s="162"/>
      <c r="M6" s="162"/>
      <c r="N6" s="33"/>
      <c r="O6" s="162" t="s">
        <v>268</v>
      </c>
      <c r="P6" s="162"/>
      <c r="Q6" s="162"/>
    </row>
    <row r="7" spans="2:17" ht="43.2" x14ac:dyDescent="0.3">
      <c r="B7" s="2" t="s">
        <v>269</v>
      </c>
      <c r="C7" s="53" t="s">
        <v>280</v>
      </c>
      <c r="D7" s="54" t="s">
        <v>270</v>
      </c>
      <c r="E7" s="54" t="s">
        <v>310</v>
      </c>
      <c r="F7" s="54" t="s">
        <v>271</v>
      </c>
      <c r="G7" s="54" t="s">
        <v>193</v>
      </c>
      <c r="H7" s="55" t="s">
        <v>272</v>
      </c>
      <c r="I7" s="54" t="s">
        <v>273</v>
      </c>
      <c r="J7" s="54"/>
      <c r="K7" s="54" t="s">
        <v>274</v>
      </c>
      <c r="L7" s="54" t="s">
        <v>275</v>
      </c>
      <c r="M7" s="54" t="s">
        <v>276</v>
      </c>
      <c r="N7" s="54"/>
      <c r="O7" s="54" t="s">
        <v>277</v>
      </c>
      <c r="P7" s="54" t="s">
        <v>278</v>
      </c>
      <c r="Q7" s="56" t="s">
        <v>279</v>
      </c>
    </row>
    <row r="9" spans="2:17" x14ac:dyDescent="0.3">
      <c r="B9" t="s">
        <v>284</v>
      </c>
      <c r="D9" s="4">
        <f>'Company Data'!D9</f>
        <v>2640</v>
      </c>
      <c r="E9" s="4">
        <f>F9/D9</f>
        <v>100.22348484848484</v>
      </c>
      <c r="F9" s="4">
        <f>'Company Data'!E9</f>
        <v>264590</v>
      </c>
      <c r="G9" s="4">
        <f>'Company Data'!F9</f>
        <v>3928.93</v>
      </c>
      <c r="H9" s="4">
        <f>'Company Data'!N9</f>
        <v>3357.42</v>
      </c>
      <c r="I9" s="4">
        <f>'Company Data'!G9</f>
        <v>267445.25</v>
      </c>
      <c r="J9" s="4"/>
      <c r="K9" s="4">
        <f>'Company Data'!H9</f>
        <v>37186.93</v>
      </c>
      <c r="L9" s="4">
        <v>6700</v>
      </c>
      <c r="M9" s="4">
        <f>'Company Data'!L9</f>
        <v>4877.01</v>
      </c>
      <c r="O9" s="58">
        <f>'Company Valuation'!I9/'Company Valuation'!K9</f>
        <v>7.1919152777602235</v>
      </c>
      <c r="P9" s="58">
        <f>'Company Data'!J9</f>
        <v>39.917201492537316</v>
      </c>
      <c r="Q9" s="58">
        <f>'Company Data'!K9</f>
        <v>54.25</v>
      </c>
    </row>
    <row r="10" spans="2:17" x14ac:dyDescent="0.3">
      <c r="B10" t="s">
        <v>285</v>
      </c>
      <c r="D10" s="4">
        <f>'Company Data'!D10</f>
        <v>524.4</v>
      </c>
      <c r="E10" s="4">
        <f t="shared" ref="E10:E15" si="0">F10/D10</f>
        <v>115.58718535469107</v>
      </c>
      <c r="F10" s="4">
        <f>'Company Data'!E10</f>
        <v>60613.919999999998</v>
      </c>
      <c r="G10" s="4">
        <f>'Company Data'!F10</f>
        <v>635.13</v>
      </c>
      <c r="H10" s="4">
        <f>'Company Data'!N10</f>
        <v>253.95</v>
      </c>
      <c r="I10" s="4">
        <f>'Company Data'!G10</f>
        <v>60943.74</v>
      </c>
      <c r="J10" s="4"/>
      <c r="K10" s="4">
        <f>'Company Data'!H10</f>
        <v>11880.25</v>
      </c>
      <c r="L10" s="4">
        <v>1833</v>
      </c>
      <c r="M10" s="4">
        <f>'Company Data'!L10</f>
        <v>1131.43</v>
      </c>
      <c r="O10" s="58">
        <f>'Company Valuation'!I10/'Company Valuation'!K10</f>
        <v>5.1298364933397869</v>
      </c>
      <c r="P10" s="58">
        <f>'Company Data'!J10</f>
        <v>33.24808510638298</v>
      </c>
      <c r="Q10" s="58">
        <f>'Company Data'!K10</f>
        <v>53.57</v>
      </c>
    </row>
    <row r="11" spans="2:17" x14ac:dyDescent="0.3">
      <c r="B11" t="s">
        <v>286</v>
      </c>
      <c r="D11" s="4">
        <f>'Company Data'!D11</f>
        <v>205.85</v>
      </c>
      <c r="E11" s="4">
        <f t="shared" si="0"/>
        <v>78.762885596307996</v>
      </c>
      <c r="F11" s="4">
        <f>'Company Data'!E11</f>
        <v>16213.34</v>
      </c>
      <c r="G11" s="4">
        <f>'Company Data'!F11</f>
        <v>302.73</v>
      </c>
      <c r="H11" s="4">
        <f>'Company Data'!N11</f>
        <v>29.6</v>
      </c>
      <c r="I11" s="4">
        <f>'Company Data'!G11</f>
        <v>16290.289999999999</v>
      </c>
      <c r="J11" s="4"/>
      <c r="K11" s="4">
        <f>'Company Data'!H11</f>
        <v>8051.91</v>
      </c>
      <c r="L11" s="4">
        <v>975</v>
      </c>
      <c r="M11" s="4">
        <f>'Company Data'!L11</f>
        <v>579.07000000000005</v>
      </c>
      <c r="O11" s="58">
        <f>'Company Valuation'!I11/'Company Valuation'!K11</f>
        <v>2.0231584804102378</v>
      </c>
      <c r="P11" s="58">
        <f>'Company Data'!J11</f>
        <v>16.707989743589742</v>
      </c>
      <c r="Q11" s="58">
        <f>'Company Data'!K11</f>
        <v>28</v>
      </c>
    </row>
    <row r="12" spans="2:17" x14ac:dyDescent="0.3">
      <c r="B12" t="s">
        <v>287</v>
      </c>
      <c r="D12" s="4">
        <f>'Company Data'!D12</f>
        <v>3118.8</v>
      </c>
      <c r="E12" s="4">
        <f t="shared" si="0"/>
        <v>4.3381076054892906</v>
      </c>
      <c r="F12" s="4">
        <f>'Company Data'!E12</f>
        <v>13529.69</v>
      </c>
      <c r="G12" s="4">
        <f>'Company Data'!F12</f>
        <v>79.099999999999994</v>
      </c>
      <c r="H12" s="4">
        <f>'Company Data'!N12</f>
        <v>248.2</v>
      </c>
      <c r="I12" s="4">
        <f>'Company Data'!G12</f>
        <v>13285.09</v>
      </c>
      <c r="J12" s="4"/>
      <c r="K12" s="4">
        <f>'Company Data'!H12</f>
        <v>3599.2</v>
      </c>
      <c r="L12" s="4">
        <v>509</v>
      </c>
      <c r="M12" s="4">
        <f>'Company Data'!L12</f>
        <v>361.15</v>
      </c>
      <c r="O12" s="58">
        <f>'Company Valuation'!I12/'Company Valuation'!K12</f>
        <v>3.6911230273394091</v>
      </c>
      <c r="P12" s="58">
        <f>'Company Data'!J12</f>
        <v>26.100373280943025</v>
      </c>
      <c r="Q12" s="58">
        <f>'Company Data'!K12</f>
        <v>37.46</v>
      </c>
    </row>
    <row r="13" spans="2:17" x14ac:dyDescent="0.3">
      <c r="B13" t="s">
        <v>288</v>
      </c>
      <c r="D13" s="4">
        <f>'Company Data'!D13</f>
        <v>1151.8</v>
      </c>
      <c r="E13" s="4">
        <f t="shared" si="0"/>
        <v>4.5777218267060258</v>
      </c>
      <c r="F13" s="4">
        <f>'Company Data'!E13</f>
        <v>5272.62</v>
      </c>
      <c r="G13" s="4">
        <f>'Company Data'!F13</f>
        <v>18.37</v>
      </c>
      <c r="H13" s="4">
        <f>'Company Data'!N13</f>
        <v>37.090000000000003</v>
      </c>
      <c r="I13" s="4">
        <f>'Company Data'!G13</f>
        <v>5262.44</v>
      </c>
      <c r="J13" s="4"/>
      <c r="K13" s="4">
        <f>'Company Data'!H13</f>
        <v>1330.12</v>
      </c>
      <c r="L13" s="4">
        <v>247</v>
      </c>
      <c r="M13" s="4">
        <f>'Company Data'!L13</f>
        <v>149.75</v>
      </c>
      <c r="O13" s="58">
        <f>'Company Valuation'!I13/'Company Valuation'!K13</f>
        <v>3.9563648392626227</v>
      </c>
      <c r="P13" s="58">
        <f>'Company Data'!J13</f>
        <v>21.305425101214574</v>
      </c>
      <c r="Q13" s="58">
        <f>'Company Data'!K13</f>
        <v>35.21</v>
      </c>
    </row>
    <row r="14" spans="2:17" x14ac:dyDescent="0.3">
      <c r="B14" t="s">
        <v>289</v>
      </c>
      <c r="D14" s="4">
        <f>'Company Data'!D14</f>
        <v>451.2</v>
      </c>
      <c r="E14" s="4">
        <f t="shared" si="0"/>
        <v>5.0637411347517736</v>
      </c>
      <c r="F14" s="4">
        <f>'Company Data'!E14</f>
        <v>2284.7600000000002</v>
      </c>
      <c r="G14" s="4">
        <f>'Company Data'!F14</f>
        <v>32.32</v>
      </c>
      <c r="H14" s="4">
        <f>'Company Data'!N14</f>
        <v>43.24</v>
      </c>
      <c r="I14" s="4">
        <f>'Company Data'!G14</f>
        <v>2259.1000000000004</v>
      </c>
      <c r="J14" s="4"/>
      <c r="K14" s="4">
        <f>'Company Data'!H14</f>
        <v>508.26</v>
      </c>
      <c r="L14" s="4">
        <v>99</v>
      </c>
      <c r="M14" s="4">
        <f>'Company Data'!L14</f>
        <v>67.05</v>
      </c>
      <c r="O14" s="58">
        <f>'Company Valuation'!I14/'Company Valuation'!K14</f>
        <v>4.4447723606028422</v>
      </c>
      <c r="P14" s="58">
        <f>'Company Data'!J14</f>
        <v>22.819191919191923</v>
      </c>
      <c r="Q14" s="58">
        <f>'Company Data'!K14</f>
        <v>34.08</v>
      </c>
    </row>
    <row r="15" spans="2:17" x14ac:dyDescent="0.3">
      <c r="B15" t="s">
        <v>290</v>
      </c>
      <c r="D15" s="4">
        <f>'Company Data'!D15</f>
        <v>80.89</v>
      </c>
      <c r="E15" s="4">
        <f t="shared" si="0"/>
        <v>7.1625664482630729</v>
      </c>
      <c r="F15" s="4">
        <f>'Company Data'!E15</f>
        <v>579.38</v>
      </c>
      <c r="G15" s="4">
        <f>'Company Data'!F15</f>
        <v>164.76</v>
      </c>
      <c r="H15" s="4">
        <v>0</v>
      </c>
      <c r="I15" s="4">
        <f>'Company Data'!G15</f>
        <v>697.05</v>
      </c>
      <c r="J15" s="4"/>
      <c r="K15" s="4">
        <f>'Company Data'!H15</f>
        <v>575.63</v>
      </c>
      <c r="L15" s="4">
        <v>-22</v>
      </c>
      <c r="M15" s="4">
        <f>'Company Data'!L15</f>
        <v>-60.35</v>
      </c>
      <c r="O15" s="58">
        <f>'Company Valuation'!I15/'Company Valuation'!K15</f>
        <v>1.2109341069784409</v>
      </c>
      <c r="P15" s="58">
        <f>'Company Data'!J15</f>
        <v>-31.684090909090909</v>
      </c>
      <c r="Q15" s="58">
        <v>0</v>
      </c>
    </row>
    <row r="17" spans="2:17" x14ac:dyDescent="0.3">
      <c r="B17" s="2" t="s">
        <v>302</v>
      </c>
      <c r="C17" s="3"/>
      <c r="D17" s="3"/>
      <c r="E17" s="3"/>
      <c r="F17" s="3"/>
      <c r="G17" s="3"/>
      <c r="H17" s="3"/>
      <c r="I17" s="3"/>
      <c r="J17" s="3"/>
      <c r="K17" s="3"/>
      <c r="L17" s="3"/>
      <c r="M17" s="3"/>
      <c r="N17" s="3"/>
      <c r="O17" s="59">
        <f>AVERAGE(O9:O15)</f>
        <v>3.9497292265276522</v>
      </c>
      <c r="P17" s="59">
        <f>AVERAGE(P9:P15)</f>
        <v>18.344882247824092</v>
      </c>
      <c r="Q17" s="59">
        <f t="shared" ref="Q17" si="1">AVERAGE(Q9:Q15)</f>
        <v>34.652857142857144</v>
      </c>
    </row>
    <row r="18" spans="2:17" x14ac:dyDescent="0.3">
      <c r="B18" s="2" t="s">
        <v>303</v>
      </c>
      <c r="C18" s="3"/>
      <c r="D18" s="3"/>
      <c r="E18" s="3"/>
      <c r="F18" s="3"/>
      <c r="G18" s="3"/>
      <c r="H18" s="3"/>
      <c r="I18" s="3"/>
      <c r="J18" s="3"/>
      <c r="K18" s="3"/>
      <c r="L18" s="3"/>
      <c r="M18" s="3"/>
      <c r="N18" s="3"/>
      <c r="O18" s="59">
        <f>MEDIAN(O9:O15)</f>
        <v>3.9563648392626227</v>
      </c>
      <c r="P18" s="59">
        <f>MEDIAN(P9:P15)</f>
        <v>22.819191919191923</v>
      </c>
      <c r="Q18" s="59">
        <f t="shared" ref="Q18" si="2">MEDIAN(Q9:Q15)</f>
        <v>35.21</v>
      </c>
    </row>
    <row r="20" spans="2:17" x14ac:dyDescent="0.3">
      <c r="B20" t="str">
        <f>B9</f>
        <v>Asian Paints</v>
      </c>
      <c r="D20" s="4">
        <f t="shared" ref="D20:Q20" si="3">D9</f>
        <v>2640</v>
      </c>
      <c r="E20" s="4">
        <f t="shared" si="3"/>
        <v>100.22348484848484</v>
      </c>
      <c r="F20" s="4">
        <f t="shared" si="3"/>
        <v>264590</v>
      </c>
      <c r="G20" s="4">
        <f t="shared" si="3"/>
        <v>3928.93</v>
      </c>
      <c r="H20" s="4">
        <f t="shared" si="3"/>
        <v>3357.42</v>
      </c>
      <c r="I20" s="4">
        <f t="shared" si="3"/>
        <v>267445.25</v>
      </c>
      <c r="J20" s="4"/>
      <c r="K20" s="4">
        <f t="shared" si="3"/>
        <v>37186.93</v>
      </c>
      <c r="L20" s="4">
        <f t="shared" si="3"/>
        <v>6700</v>
      </c>
      <c r="M20" s="4">
        <f t="shared" si="3"/>
        <v>4877.01</v>
      </c>
      <c r="O20" s="58">
        <f t="shared" si="3"/>
        <v>7.1919152777602235</v>
      </c>
      <c r="P20" s="58">
        <f t="shared" si="3"/>
        <v>39.917201492537316</v>
      </c>
      <c r="Q20" s="58">
        <f t="shared" si="3"/>
        <v>54.25</v>
      </c>
    </row>
    <row r="22" spans="2:17" x14ac:dyDescent="0.3">
      <c r="B22" s="2" t="s">
        <v>304</v>
      </c>
      <c r="C22" s="3"/>
      <c r="D22" s="3" t="s">
        <v>305</v>
      </c>
      <c r="E22" s="3" t="s">
        <v>273</v>
      </c>
      <c r="F22" s="3" t="s">
        <v>306</v>
      </c>
      <c r="G22" s="3" t="s">
        <v>307</v>
      </c>
      <c r="H22" s="34" t="s">
        <v>308</v>
      </c>
      <c r="I22" s="3" t="s">
        <v>309</v>
      </c>
      <c r="J22" s="3"/>
      <c r="K22" s="3"/>
      <c r="L22" s="3"/>
      <c r="M22" s="3"/>
      <c r="N22" s="3"/>
      <c r="O22" s="3"/>
      <c r="P22" s="3"/>
      <c r="Q22" s="3"/>
    </row>
    <row r="24" spans="2:17" x14ac:dyDescent="0.3">
      <c r="B24" t="s">
        <v>277</v>
      </c>
      <c r="D24" s="60">
        <f>O17</f>
        <v>3.9497292265276522</v>
      </c>
      <c r="E24" s="29">
        <f>D24*K20</f>
        <v>146878.30426583794</v>
      </c>
      <c r="F24" s="44">
        <f>$G$20-$H$20</f>
        <v>571.50999999999976</v>
      </c>
      <c r="G24" s="44">
        <f>E24+F24</f>
        <v>147449.81426583795</v>
      </c>
      <c r="H24" s="61">
        <f>E20</f>
        <v>100.22348484848484</v>
      </c>
      <c r="I24" s="52">
        <f>G24/H24</f>
        <v>1471.2102107479957</v>
      </c>
    </row>
    <row r="25" spans="2:17" x14ac:dyDescent="0.3">
      <c r="B25" t="s">
        <v>278</v>
      </c>
      <c r="D25" s="60">
        <f>P18</f>
        <v>22.819191919191923</v>
      </c>
      <c r="E25" s="29">
        <f>D25*L20</f>
        <v>152888.5858585859</v>
      </c>
      <c r="F25" s="44">
        <f>F24</f>
        <v>571.50999999999976</v>
      </c>
      <c r="G25" s="44">
        <f>E25+F25</f>
        <v>153460.0958585859</v>
      </c>
      <c r="H25" s="61">
        <f>H24</f>
        <v>100.22348484848484</v>
      </c>
      <c r="I25" s="52">
        <f t="shared" ref="I25:I26" si="4">G25/H25</f>
        <v>1531.1790055053737</v>
      </c>
    </row>
    <row r="26" spans="2:17" x14ac:dyDescent="0.3">
      <c r="B26" t="s">
        <v>279</v>
      </c>
      <c r="D26" s="60">
        <f>Q17</f>
        <v>34.652857142857144</v>
      </c>
      <c r="E26" s="29">
        <f>G26+F26</f>
        <v>169573.84081428574</v>
      </c>
      <c r="F26" s="44">
        <f>F25</f>
        <v>571.50999999999976</v>
      </c>
      <c r="G26" s="29">
        <f>D26*M20</f>
        <v>169002.33081428573</v>
      </c>
      <c r="H26" s="61">
        <f>H25</f>
        <v>100.22348484848484</v>
      </c>
      <c r="I26" s="52">
        <f t="shared" si="4"/>
        <v>1686.2547841933344</v>
      </c>
    </row>
  </sheetData>
  <mergeCells count="3">
    <mergeCell ref="D6:H6"/>
    <mergeCell ref="K6:M6"/>
    <mergeCell ref="O6:Q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DC5C9-3DE9-443C-9350-96177EB75996}">
  <dimension ref="B2:O11"/>
  <sheetViews>
    <sheetView showGridLines="0" zoomScale="115" workbookViewId="0">
      <selection activeCell="K25" sqref="K25"/>
    </sheetView>
  </sheetViews>
  <sheetFormatPr defaultRowHeight="14.4" x14ac:dyDescent="0.3"/>
  <cols>
    <col min="1" max="1" width="1.88671875" customWidth="1"/>
    <col min="2" max="2" width="31" bestFit="1" customWidth="1"/>
  </cols>
  <sheetData>
    <row r="2" spans="2:15" ht="28.8" x14ac:dyDescent="0.55000000000000004">
      <c r="B2" s="16" t="s">
        <v>160</v>
      </c>
      <c r="C2" s="3"/>
      <c r="D2" s="3"/>
      <c r="E2" s="3"/>
      <c r="F2" s="3"/>
      <c r="G2" s="3"/>
      <c r="H2" s="3"/>
      <c r="I2" s="3"/>
      <c r="J2" s="3"/>
      <c r="K2" s="3"/>
      <c r="L2" s="3"/>
      <c r="M2" s="3"/>
      <c r="N2" s="3"/>
      <c r="O2" s="3"/>
    </row>
    <row r="3" spans="2:15" x14ac:dyDescent="0.3">
      <c r="B3" s="17" t="s">
        <v>161</v>
      </c>
      <c r="C3" s="3"/>
      <c r="D3" s="3"/>
      <c r="E3" s="33"/>
      <c r="F3" s="33"/>
      <c r="G3" s="33"/>
      <c r="H3" s="33"/>
      <c r="I3" s="33"/>
      <c r="J3" s="34"/>
      <c r="K3" s="34"/>
      <c r="L3" s="34"/>
      <c r="M3" s="34"/>
      <c r="N3" s="34"/>
      <c r="O3" s="34"/>
    </row>
    <row r="4" spans="2:15" x14ac:dyDescent="0.3">
      <c r="B4" s="2" t="s">
        <v>159</v>
      </c>
      <c r="C4" s="3"/>
      <c r="D4" s="3"/>
      <c r="E4" s="18"/>
      <c r="F4" s="18"/>
      <c r="G4" s="18"/>
      <c r="H4" s="18"/>
      <c r="I4" s="18"/>
      <c r="J4" s="19"/>
      <c r="K4" s="19"/>
      <c r="L4" s="19"/>
      <c r="M4" s="19"/>
      <c r="N4" s="19"/>
      <c r="O4" s="19"/>
    </row>
    <row r="6" spans="2:15" x14ac:dyDescent="0.3">
      <c r="B6" s="37" t="s">
        <v>250</v>
      </c>
      <c r="C6" s="38"/>
      <c r="D6" s="37" t="s">
        <v>251</v>
      </c>
      <c r="E6" s="38"/>
      <c r="F6" s="37">
        <f>Model!J4</f>
        <v>2027</v>
      </c>
      <c r="G6" s="37">
        <f>Model!K4</f>
        <v>2028</v>
      </c>
      <c r="H6" s="37">
        <f>Model!L4</f>
        <v>2029</v>
      </c>
      <c r="I6" s="37">
        <f>Model!M4</f>
        <v>2030</v>
      </c>
      <c r="J6" s="37">
        <f>Model!N4</f>
        <v>2031</v>
      </c>
      <c r="K6" s="37">
        <f>Model!O4</f>
        <v>2032</v>
      </c>
      <c r="L6" s="37">
        <f>Model!P4</f>
        <v>2033</v>
      </c>
      <c r="M6" s="37">
        <f>Model!Q4</f>
        <v>2034</v>
      </c>
      <c r="N6" s="37">
        <f>Model!R4</f>
        <v>2035</v>
      </c>
      <c r="O6" s="37">
        <f>Model!S4</f>
        <v>2036</v>
      </c>
    </row>
    <row r="7" spans="2:15" x14ac:dyDescent="0.3">
      <c r="B7" s="1"/>
      <c r="D7" s="1"/>
      <c r="F7" s="1"/>
      <c r="G7" s="1"/>
      <c r="H7" s="1"/>
      <c r="I7" s="1"/>
      <c r="J7" s="1"/>
    </row>
    <row r="8" spans="2:15" x14ac:dyDescent="0.3">
      <c r="B8" t="s">
        <v>232</v>
      </c>
      <c r="D8" s="39">
        <f>AVERAGE(Model!F12:I12)</f>
        <v>5.4753391086755004E-2</v>
      </c>
      <c r="F8" s="47">
        <f>D8+0.3%</f>
        <v>5.7753391086755007E-2</v>
      </c>
      <c r="G8" s="47">
        <f>F8+0.3%</f>
        <v>6.075339108675501E-2</v>
      </c>
      <c r="H8" s="47">
        <f t="shared" ref="H8:O8" si="0">G8+0.3%</f>
        <v>6.3753391086755012E-2</v>
      </c>
      <c r="I8" s="47">
        <f t="shared" si="0"/>
        <v>6.6753391086755015E-2</v>
      </c>
      <c r="J8" s="47">
        <f t="shared" si="0"/>
        <v>6.9753391086755018E-2</v>
      </c>
      <c r="K8" s="47">
        <f t="shared" si="0"/>
        <v>7.275339108675502E-2</v>
      </c>
      <c r="L8" s="47">
        <f t="shared" si="0"/>
        <v>7.5753391086755023E-2</v>
      </c>
      <c r="M8" s="47">
        <f t="shared" si="0"/>
        <v>7.8753391086755026E-2</v>
      </c>
      <c r="N8" s="47">
        <f t="shared" si="0"/>
        <v>8.1753391086755028E-2</v>
      </c>
      <c r="O8" s="47">
        <f t="shared" si="0"/>
        <v>8.4753391086755031E-2</v>
      </c>
    </row>
    <row r="9" spans="2:15" x14ac:dyDescent="0.3">
      <c r="B9" t="s">
        <v>252</v>
      </c>
      <c r="D9" s="39">
        <f>MAX(Model!E12:I12)</f>
        <v>0.18512278497715573</v>
      </c>
      <c r="F9" s="47">
        <v>0.12</v>
      </c>
      <c r="G9" s="39">
        <f>F9+0.1%</f>
        <v>0.121</v>
      </c>
      <c r="H9" s="39">
        <f t="shared" ref="H9:O9" si="1">G9+0.1%</f>
        <v>0.122</v>
      </c>
      <c r="I9" s="39">
        <f t="shared" si="1"/>
        <v>0.123</v>
      </c>
      <c r="J9" s="39">
        <f t="shared" si="1"/>
        <v>0.124</v>
      </c>
      <c r="K9" s="39">
        <f t="shared" si="1"/>
        <v>0.125</v>
      </c>
      <c r="L9" s="39">
        <f t="shared" si="1"/>
        <v>0.126</v>
      </c>
      <c r="M9" s="39">
        <f t="shared" si="1"/>
        <v>0.127</v>
      </c>
      <c r="N9" s="39">
        <f t="shared" si="1"/>
        <v>0.128</v>
      </c>
      <c r="O9" s="39">
        <f t="shared" si="1"/>
        <v>0.129</v>
      </c>
    </row>
    <row r="10" spans="2:15" x14ac:dyDescent="0.3">
      <c r="B10" t="s">
        <v>253</v>
      </c>
      <c r="D10" s="39">
        <f>MIN(Model!E12:I12)</f>
        <v>-4.4770308155604899E-2</v>
      </c>
      <c r="F10" s="47">
        <v>0.05</v>
      </c>
      <c r="G10" s="39">
        <f>F10+0.1%</f>
        <v>5.1000000000000004E-2</v>
      </c>
      <c r="H10" s="39">
        <f t="shared" ref="H10:O10" si="2">G10+0.1%</f>
        <v>5.2000000000000005E-2</v>
      </c>
      <c r="I10" s="39">
        <f t="shared" si="2"/>
        <v>5.3000000000000005E-2</v>
      </c>
      <c r="J10" s="39">
        <f t="shared" si="2"/>
        <v>5.4000000000000006E-2</v>
      </c>
      <c r="K10" s="39">
        <f t="shared" si="2"/>
        <v>5.5000000000000007E-2</v>
      </c>
      <c r="L10" s="39">
        <f t="shared" si="2"/>
        <v>5.6000000000000008E-2</v>
      </c>
      <c r="M10" s="39">
        <f t="shared" si="2"/>
        <v>5.7000000000000009E-2</v>
      </c>
      <c r="N10" s="39">
        <f t="shared" si="2"/>
        <v>5.800000000000001E-2</v>
      </c>
      <c r="O10" s="39">
        <f t="shared" si="2"/>
        <v>5.9000000000000011E-2</v>
      </c>
    </row>
    <row r="11" spans="2:15" x14ac:dyDescent="0.3">
      <c r="B11" t="s">
        <v>254</v>
      </c>
      <c r="D11" s="48">
        <v>9.5000000000000001E-2</v>
      </c>
    </row>
  </sheetData>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282B-8E58-44CA-A2DF-13692489C66D}">
  <dimension ref="B2:H57"/>
  <sheetViews>
    <sheetView showGridLines="0" topLeftCell="A21" zoomScale="91" workbookViewId="0">
      <selection activeCell="L68" sqref="L68"/>
    </sheetView>
  </sheetViews>
  <sheetFormatPr defaultRowHeight="14.4" x14ac:dyDescent="0.3"/>
  <cols>
    <col min="1" max="1" width="2.5546875" customWidth="1"/>
    <col min="2" max="2" width="69.88671875" customWidth="1"/>
    <col min="4" max="4" width="10" bestFit="1" customWidth="1"/>
    <col min="5" max="8" width="9.77734375" bestFit="1" customWidth="1"/>
  </cols>
  <sheetData>
    <row r="2" spans="2:8" ht="28.8" x14ac:dyDescent="0.55000000000000004">
      <c r="B2" s="16" t="s">
        <v>160</v>
      </c>
      <c r="C2" s="3"/>
      <c r="D2" s="3"/>
      <c r="E2" s="3"/>
      <c r="F2" s="3"/>
      <c r="G2" s="3"/>
      <c r="H2" s="3"/>
    </row>
    <row r="3" spans="2:8" x14ac:dyDescent="0.3">
      <c r="B3" s="17" t="s">
        <v>161</v>
      </c>
      <c r="C3" s="3"/>
      <c r="D3" s="3"/>
      <c r="E3" s="33"/>
      <c r="F3" s="33"/>
      <c r="G3" s="33"/>
      <c r="H3" s="33"/>
    </row>
    <row r="4" spans="2:8" x14ac:dyDescent="0.3">
      <c r="B4" s="2" t="s">
        <v>52</v>
      </c>
      <c r="C4" s="3"/>
      <c r="D4" s="3"/>
      <c r="E4" s="18"/>
      <c r="F4" s="18"/>
      <c r="G4" s="18"/>
      <c r="H4" s="18"/>
    </row>
    <row r="6" spans="2:8" x14ac:dyDescent="0.3">
      <c r="B6" s="2" t="s">
        <v>1</v>
      </c>
      <c r="C6" s="3"/>
      <c r="D6" s="2">
        <f>CF!D6</f>
        <v>2022</v>
      </c>
      <c r="E6" s="2">
        <f>D6+1</f>
        <v>2023</v>
      </c>
      <c r="F6" s="2">
        <f t="shared" ref="F6:H6" si="0">E6+1</f>
        <v>2024</v>
      </c>
      <c r="G6" s="2">
        <f t="shared" si="0"/>
        <v>2025</v>
      </c>
      <c r="H6" s="2">
        <f t="shared" si="0"/>
        <v>2026</v>
      </c>
    </row>
    <row r="7" spans="2:8" x14ac:dyDescent="0.3">
      <c r="B7" s="28" t="s">
        <v>375</v>
      </c>
    </row>
    <row r="8" spans="2:8" x14ac:dyDescent="0.3">
      <c r="B8" s="28"/>
    </row>
    <row r="9" spans="2:8" x14ac:dyDescent="0.3">
      <c r="B9" s="1" t="s">
        <v>53</v>
      </c>
    </row>
    <row r="10" spans="2:8" x14ac:dyDescent="0.3">
      <c r="B10" t="s">
        <v>54</v>
      </c>
      <c r="D10" s="4">
        <v>28830.02</v>
      </c>
      <c r="E10" s="4">
        <v>34253.35</v>
      </c>
      <c r="F10" s="4">
        <v>35248.879999999997</v>
      </c>
      <c r="G10" s="4">
        <v>33626.82</v>
      </c>
      <c r="H10" s="4">
        <v>35416.25</v>
      </c>
    </row>
    <row r="11" spans="2:8" x14ac:dyDescent="0.3">
      <c r="B11" t="s">
        <v>55</v>
      </c>
      <c r="D11" s="4">
        <v>93.46</v>
      </c>
      <c r="E11" s="4">
        <v>114.48</v>
      </c>
      <c r="F11" s="4">
        <v>133.24</v>
      </c>
      <c r="G11" s="4">
        <v>170.54</v>
      </c>
      <c r="H11" s="4">
        <v>100.12</v>
      </c>
    </row>
    <row r="12" spans="2:8" x14ac:dyDescent="0.3">
      <c r="B12" t="s">
        <v>56</v>
      </c>
      <c r="D12" s="4">
        <v>177.8</v>
      </c>
      <c r="E12" s="4">
        <v>120.76</v>
      </c>
      <c r="F12" s="4">
        <v>112.61</v>
      </c>
      <c r="G12" s="4">
        <v>108.26</v>
      </c>
      <c r="H12" s="4">
        <v>67.17</v>
      </c>
    </row>
    <row r="13" spans="2:8" x14ac:dyDescent="0.3">
      <c r="B13" t="s">
        <v>57</v>
      </c>
      <c r="D13" s="4">
        <v>380.01</v>
      </c>
      <c r="E13" s="4">
        <v>386.48</v>
      </c>
      <c r="F13" s="4">
        <v>687.96</v>
      </c>
      <c r="G13" s="4">
        <v>572.61</v>
      </c>
      <c r="H13" s="4">
        <v>723.8</v>
      </c>
    </row>
    <row r="14" spans="2:8" x14ac:dyDescent="0.3">
      <c r="B14" s="5" t="s">
        <v>58</v>
      </c>
      <c r="C14" s="6"/>
      <c r="D14" s="7">
        <f>SUM(D10:D13)</f>
        <v>29481.289999999997</v>
      </c>
      <c r="E14" s="7">
        <f>SUM(E10:E13)</f>
        <v>34875.070000000007</v>
      </c>
      <c r="F14" s="7">
        <f>SUM(F10:F13)</f>
        <v>36182.689999999995</v>
      </c>
      <c r="G14" s="7">
        <f>SUM(G10:G13)</f>
        <v>34478.230000000003</v>
      </c>
      <c r="H14" s="7">
        <f>SUM(H10:H13)</f>
        <v>36307.340000000004</v>
      </c>
    </row>
    <row r="15" spans="2:8" x14ac:dyDescent="0.3">
      <c r="B15" s="1"/>
      <c r="D15" s="14"/>
      <c r="E15" s="14"/>
      <c r="F15" s="14"/>
      <c r="G15" s="14"/>
      <c r="H15" s="14"/>
    </row>
    <row r="16" spans="2:8" x14ac:dyDescent="0.3">
      <c r="B16" s="1" t="s">
        <v>59</v>
      </c>
    </row>
    <row r="17" spans="2:8" x14ac:dyDescent="0.3">
      <c r="B17" t="s">
        <v>60</v>
      </c>
      <c r="D17" s="4">
        <v>16254.59</v>
      </c>
      <c r="E17" s="4">
        <v>17330.580000000002</v>
      </c>
      <c r="F17" s="4">
        <v>15868.21</v>
      </c>
      <c r="G17" s="4">
        <v>15793.92</v>
      </c>
      <c r="H17" s="4">
        <v>15384.05</v>
      </c>
    </row>
    <row r="18" spans="2:8" x14ac:dyDescent="0.3">
      <c r="B18" t="s">
        <v>61</v>
      </c>
      <c r="D18" s="4">
        <v>3371.13</v>
      </c>
      <c r="E18" s="4">
        <v>4135.6499999999996</v>
      </c>
      <c r="F18" s="4">
        <v>3858.2</v>
      </c>
      <c r="G18" s="4">
        <v>3926.86</v>
      </c>
      <c r="H18" s="4">
        <v>4014.05</v>
      </c>
    </row>
    <row r="19" spans="2:8" x14ac:dyDescent="0.3">
      <c r="B19" t="s">
        <v>62</v>
      </c>
      <c r="D19" s="4">
        <v>-1324.97</v>
      </c>
      <c r="E19" s="4">
        <v>-309.73</v>
      </c>
      <c r="F19" s="4">
        <v>363.8</v>
      </c>
      <c r="G19" s="4">
        <v>-205</v>
      </c>
      <c r="H19" s="4">
        <v>603.67999999999995</v>
      </c>
    </row>
    <row r="20" spans="2:8" x14ac:dyDescent="0.3">
      <c r="B20" t="s">
        <v>63</v>
      </c>
      <c r="D20" s="4">
        <v>1786.67</v>
      </c>
      <c r="E20" s="4">
        <v>2028.07</v>
      </c>
      <c r="F20" s="4">
        <v>2326.1799999999998</v>
      </c>
      <c r="G20" s="4">
        <v>2597.23</v>
      </c>
      <c r="H20" s="4">
        <v>2799.59</v>
      </c>
    </row>
    <row r="21" spans="2:8" x14ac:dyDescent="0.3">
      <c r="B21" t="s">
        <v>64</v>
      </c>
      <c r="D21" s="4">
        <v>4210.25</v>
      </c>
      <c r="E21" s="4">
        <v>5044.18</v>
      </c>
      <c r="F21" s="4">
        <v>5493.36</v>
      </c>
      <c r="G21" s="4">
        <v>5786.4</v>
      </c>
      <c r="H21" s="4">
        <v>6086.25</v>
      </c>
    </row>
    <row r="22" spans="2:8" x14ac:dyDescent="0.3">
      <c r="B22" s="5" t="s">
        <v>65</v>
      </c>
      <c r="C22" s="6"/>
      <c r="D22" s="7">
        <f>SUM(D17:D21)</f>
        <v>24297.67</v>
      </c>
      <c r="E22" s="7">
        <f>SUM(E17:E21)</f>
        <v>28228.750000000004</v>
      </c>
      <c r="F22" s="7">
        <f t="shared" ref="F22:H22" si="1">SUM(F17:F21)</f>
        <v>27909.75</v>
      </c>
      <c r="G22" s="7">
        <f t="shared" si="1"/>
        <v>27899.409999999996</v>
      </c>
      <c r="H22" s="7">
        <f t="shared" si="1"/>
        <v>28887.62</v>
      </c>
    </row>
    <row r="23" spans="2:8" x14ac:dyDescent="0.3">
      <c r="B23" s="1"/>
      <c r="D23" s="14"/>
      <c r="E23" s="14"/>
      <c r="F23" s="14"/>
      <c r="G23" s="14"/>
      <c r="H23" s="14"/>
    </row>
    <row r="24" spans="2:8" x14ac:dyDescent="0.3">
      <c r="B24" s="1" t="s">
        <v>66</v>
      </c>
      <c r="D24" s="14">
        <f>D14-D22</f>
        <v>5183.619999999999</v>
      </c>
      <c r="E24" s="14">
        <f>E14-E22</f>
        <v>6646.3200000000033</v>
      </c>
      <c r="F24" s="14">
        <f t="shared" ref="F24:H24" si="2">F14-F22</f>
        <v>8272.9399999999951</v>
      </c>
      <c r="G24" s="14">
        <f t="shared" si="2"/>
        <v>6578.820000000007</v>
      </c>
      <c r="H24" s="14">
        <f t="shared" si="2"/>
        <v>7419.7200000000048</v>
      </c>
    </row>
    <row r="26" spans="2:8" x14ac:dyDescent="0.3">
      <c r="B26" t="s">
        <v>67</v>
      </c>
      <c r="D26" s="4">
        <v>95.41</v>
      </c>
      <c r="E26" s="4">
        <v>144.44999999999999</v>
      </c>
      <c r="F26" s="4">
        <v>205.17</v>
      </c>
      <c r="G26" s="4">
        <v>227.02</v>
      </c>
      <c r="H26" s="4">
        <v>195.41</v>
      </c>
    </row>
    <row r="27" spans="2:8" x14ac:dyDescent="0.3">
      <c r="B27" t="s">
        <v>68</v>
      </c>
      <c r="D27" s="4">
        <v>816.36</v>
      </c>
      <c r="E27" s="4">
        <v>858.02</v>
      </c>
      <c r="F27" s="4">
        <v>853</v>
      </c>
      <c r="G27" s="4">
        <v>1026.3399999999999</v>
      </c>
      <c r="H27" s="4">
        <v>1228.8499999999999</v>
      </c>
    </row>
    <row r="28" spans="2:8" x14ac:dyDescent="0.3">
      <c r="B28" t="s">
        <v>69</v>
      </c>
      <c r="D28" s="14">
        <f>D24-SUM(D26:D27)</f>
        <v>4271.8499999999985</v>
      </c>
      <c r="E28" s="14">
        <f>E24-SUM(E26:E27)</f>
        <v>5643.8500000000031</v>
      </c>
      <c r="F28" s="14">
        <f t="shared" ref="F28:H28" si="3">F24-SUM(F26:F27)</f>
        <v>7214.769999999995</v>
      </c>
      <c r="G28" s="14">
        <f t="shared" si="3"/>
        <v>5325.4600000000073</v>
      </c>
      <c r="H28" s="14">
        <f t="shared" si="3"/>
        <v>5995.4600000000046</v>
      </c>
    </row>
    <row r="29" spans="2:8" x14ac:dyDescent="0.3">
      <c r="B29" t="s">
        <v>70</v>
      </c>
      <c r="D29" s="4">
        <v>31.57</v>
      </c>
      <c r="E29" s="4">
        <v>93.85</v>
      </c>
      <c r="F29" s="4">
        <v>133</v>
      </c>
      <c r="G29" s="4">
        <v>140.71</v>
      </c>
      <c r="H29" s="4">
        <v>165.59</v>
      </c>
    </row>
    <row r="30" spans="2:8" x14ac:dyDescent="0.3">
      <c r="B30" s="5" t="s">
        <v>71</v>
      </c>
      <c r="C30" s="6"/>
      <c r="D30" s="7">
        <f>D28+D29</f>
        <v>4303.4199999999983</v>
      </c>
      <c r="E30" s="7">
        <f>E28+E29</f>
        <v>5737.7000000000035</v>
      </c>
      <c r="F30" s="7">
        <f>F28+F29</f>
        <v>7347.769999999995</v>
      </c>
      <c r="G30" s="7">
        <f>G28+G29</f>
        <v>5466.1700000000073</v>
      </c>
      <c r="H30" s="7">
        <f>H28+H29</f>
        <v>6161.0500000000047</v>
      </c>
    </row>
    <row r="31" spans="2:8" x14ac:dyDescent="0.3">
      <c r="B31" s="1"/>
      <c r="D31" s="14"/>
      <c r="E31" s="14"/>
      <c r="F31" s="14"/>
      <c r="G31" s="14"/>
      <c r="H31" s="14"/>
    </row>
    <row r="32" spans="2:8" x14ac:dyDescent="0.3">
      <c r="B32" t="s">
        <v>72</v>
      </c>
      <c r="D32" s="4">
        <v>115.7</v>
      </c>
      <c r="E32" s="4">
        <v>48.87</v>
      </c>
      <c r="F32" s="4">
        <v>0</v>
      </c>
      <c r="G32" s="4">
        <v>363.1</v>
      </c>
      <c r="H32" s="4">
        <v>157.61000000000001</v>
      </c>
    </row>
    <row r="33" spans="2:8" x14ac:dyDescent="0.3">
      <c r="B33" s="5" t="s">
        <v>73</v>
      </c>
      <c r="C33" s="6"/>
      <c r="D33" s="7">
        <f>D30-D32</f>
        <v>4187.7199999999984</v>
      </c>
      <c r="E33" s="7">
        <f>E30-E32</f>
        <v>5688.8300000000036</v>
      </c>
      <c r="F33" s="7">
        <f t="shared" ref="F33:H33" si="4">F30-F32</f>
        <v>7347.769999999995</v>
      </c>
      <c r="G33" s="7">
        <f>G30-G32</f>
        <v>5103.070000000007</v>
      </c>
      <c r="H33" s="7">
        <f t="shared" si="4"/>
        <v>6003.4400000000051</v>
      </c>
    </row>
    <row r="34" spans="2:8" x14ac:dyDescent="0.3">
      <c r="B34" s="1" t="s">
        <v>74</v>
      </c>
    </row>
    <row r="35" spans="2:8" x14ac:dyDescent="0.3">
      <c r="B35" t="s">
        <v>75</v>
      </c>
      <c r="D35" s="4">
        <v>1161.53</v>
      </c>
      <c r="E35" s="4">
        <v>1504.14</v>
      </c>
      <c r="F35" s="4">
        <v>1836</v>
      </c>
      <c r="G35" s="4">
        <v>1388.98</v>
      </c>
      <c r="H35" s="4">
        <v>1523.02</v>
      </c>
    </row>
    <row r="36" spans="2:8" x14ac:dyDescent="0.3">
      <c r="B36" t="s">
        <v>76</v>
      </c>
      <c r="D36" s="4">
        <v>2.82</v>
      </c>
      <c r="E36" s="4">
        <v>6.64</v>
      </c>
      <c r="F36" s="4">
        <v>-51.35</v>
      </c>
      <c r="G36" s="4">
        <v>-13.39</v>
      </c>
      <c r="H36" s="4">
        <v>27.05</v>
      </c>
    </row>
    <row r="37" spans="2:8" x14ac:dyDescent="0.3">
      <c r="B37" t="s">
        <v>77</v>
      </c>
      <c r="D37" s="4">
        <v>-61.44</v>
      </c>
      <c r="E37" s="4">
        <v>-17.28</v>
      </c>
      <c r="F37" s="4">
        <v>5.43</v>
      </c>
      <c r="G37" s="4">
        <v>17.77</v>
      </c>
      <c r="H37" s="4">
        <v>58.68</v>
      </c>
    </row>
    <row r="38" spans="2:8" x14ac:dyDescent="0.3">
      <c r="B38" s="1" t="s">
        <v>78</v>
      </c>
      <c r="D38" s="14">
        <f>SUM(D35:D37)</f>
        <v>1102.9099999999999</v>
      </c>
      <c r="E38" s="14">
        <f t="shared" ref="E38:G38" si="5">SUM(E35:E37)</f>
        <v>1493.5000000000002</v>
      </c>
      <c r="F38" s="14">
        <f t="shared" si="5"/>
        <v>1790.0800000000002</v>
      </c>
      <c r="G38" s="14">
        <f t="shared" si="5"/>
        <v>1393.36</v>
      </c>
      <c r="H38" s="14">
        <f>SUM(H35:H37)</f>
        <v>1608.75</v>
      </c>
    </row>
    <row r="39" spans="2:8" x14ac:dyDescent="0.3">
      <c r="B39" s="10" t="s">
        <v>79</v>
      </c>
      <c r="C39" s="13"/>
      <c r="D39" s="11">
        <f>D33-D38</f>
        <v>3084.8099999999986</v>
      </c>
      <c r="E39" s="11">
        <f>E33-E38</f>
        <v>4195.3300000000036</v>
      </c>
      <c r="F39" s="11">
        <f>F33-F38</f>
        <v>5557.6899999999951</v>
      </c>
      <c r="G39" s="11">
        <f t="shared" ref="G39:H39" si="6">G33-G38</f>
        <v>3709.7100000000073</v>
      </c>
      <c r="H39" s="11">
        <f t="shared" si="6"/>
        <v>4394.6900000000051</v>
      </c>
    </row>
    <row r="41" spans="2:8" x14ac:dyDescent="0.3">
      <c r="B41" s="1" t="s">
        <v>80</v>
      </c>
    </row>
    <row r="42" spans="2:8" x14ac:dyDescent="0.3">
      <c r="B42" s="15" t="s">
        <v>81</v>
      </c>
    </row>
    <row r="43" spans="2:8" x14ac:dyDescent="0.3">
      <c r="B43" t="s">
        <v>82</v>
      </c>
      <c r="D43" s="4">
        <v>4.59</v>
      </c>
      <c r="E43" s="4">
        <v>-10.210000000000001</v>
      </c>
      <c r="F43" s="4">
        <v>8.6</v>
      </c>
      <c r="G43" s="4">
        <v>-2.4300000000000002</v>
      </c>
      <c r="H43" s="4">
        <v>-24.94</v>
      </c>
    </row>
    <row r="44" spans="2:8" x14ac:dyDescent="0.3">
      <c r="B44" t="s">
        <v>83</v>
      </c>
      <c r="D44" s="4">
        <v>-0.96</v>
      </c>
      <c r="E44" s="4">
        <v>2.62</v>
      </c>
      <c r="F44" s="4">
        <v>-2.17</v>
      </c>
      <c r="G44" s="4">
        <v>0.16</v>
      </c>
      <c r="H44" s="4">
        <v>6.17</v>
      </c>
    </row>
    <row r="45" spans="2:8" x14ac:dyDescent="0.3">
      <c r="B45" t="s">
        <v>84</v>
      </c>
      <c r="D45" s="4">
        <v>-82.31</v>
      </c>
      <c r="E45" s="4">
        <v>90.19</v>
      </c>
      <c r="F45" s="4">
        <v>7.77</v>
      </c>
      <c r="G45" s="4">
        <v>273.3</v>
      </c>
      <c r="H45" s="4">
        <v>-22.59</v>
      </c>
    </row>
    <row r="46" spans="2:8" x14ac:dyDescent="0.3">
      <c r="B46" t="s">
        <v>85</v>
      </c>
      <c r="D46" s="4">
        <v>9.59</v>
      </c>
      <c r="E46" s="4">
        <v>-10.58</v>
      </c>
      <c r="F46" s="4">
        <v>-0.55000000000000004</v>
      </c>
      <c r="G46" s="4">
        <v>-42.86</v>
      </c>
      <c r="H46" s="4">
        <v>3.97</v>
      </c>
    </row>
    <row r="47" spans="2:8" x14ac:dyDescent="0.3">
      <c r="B47" t="s">
        <v>86</v>
      </c>
      <c r="D47" s="4">
        <v>-0.05</v>
      </c>
      <c r="E47" s="4">
        <v>-0.77</v>
      </c>
      <c r="F47" s="4">
        <v>-1.19</v>
      </c>
      <c r="G47" s="4">
        <v>-0.43</v>
      </c>
      <c r="H47" s="4">
        <v>-2.77</v>
      </c>
    </row>
    <row r="48" spans="2:8" x14ac:dyDescent="0.3">
      <c r="B48" s="15" t="s">
        <v>87</v>
      </c>
    </row>
    <row r="49" spans="2:8" x14ac:dyDescent="0.3">
      <c r="B49" t="s">
        <v>88</v>
      </c>
      <c r="D49" s="4">
        <v>-3.26</v>
      </c>
      <c r="E49" s="4">
        <v>-5.43</v>
      </c>
      <c r="F49" s="4">
        <v>16.2</v>
      </c>
      <c r="G49" s="4">
        <v>3.67</v>
      </c>
      <c r="H49" s="4">
        <v>-18.989999999999998</v>
      </c>
    </row>
    <row r="50" spans="2:8" x14ac:dyDescent="0.3">
      <c r="B50" t="s">
        <v>89</v>
      </c>
      <c r="D50" s="4">
        <v>0.39</v>
      </c>
      <c r="E50" s="4">
        <v>0.63</v>
      </c>
      <c r="F50" s="4">
        <v>-1.85</v>
      </c>
      <c r="G50" s="4">
        <v>-0.96</v>
      </c>
      <c r="H50" s="4">
        <v>2.72</v>
      </c>
    </row>
    <row r="51" spans="2:8" x14ac:dyDescent="0.3">
      <c r="B51" t="s">
        <v>90</v>
      </c>
      <c r="D51" s="4">
        <v>-153.65</v>
      </c>
      <c r="E51" s="4">
        <v>-53.41</v>
      </c>
      <c r="F51" s="4">
        <v>5.15</v>
      </c>
      <c r="G51" s="4">
        <v>-115.95</v>
      </c>
      <c r="H51" s="4">
        <v>22.67</v>
      </c>
    </row>
    <row r="52" spans="2:8" x14ac:dyDescent="0.3">
      <c r="B52" t="s">
        <v>86</v>
      </c>
      <c r="D52" s="4">
        <v>0</v>
      </c>
      <c r="E52" s="4">
        <v>0</v>
      </c>
      <c r="F52" s="4">
        <v>0</v>
      </c>
      <c r="G52" s="4">
        <v>0.06</v>
      </c>
      <c r="H52" s="4">
        <v>0.08</v>
      </c>
    </row>
    <row r="53" spans="2:8" x14ac:dyDescent="0.3">
      <c r="B53" t="s">
        <v>91</v>
      </c>
      <c r="D53" s="4">
        <v>0</v>
      </c>
      <c r="E53" s="4">
        <v>0</v>
      </c>
      <c r="F53" s="4">
        <v>0</v>
      </c>
      <c r="G53" s="4">
        <v>0</v>
      </c>
      <c r="H53" s="4">
        <v>8.44</v>
      </c>
    </row>
    <row r="54" spans="2:8" x14ac:dyDescent="0.3">
      <c r="B54" t="s">
        <v>92</v>
      </c>
      <c r="D54" s="4">
        <v>0</v>
      </c>
      <c r="E54" s="4">
        <v>0</v>
      </c>
      <c r="F54" s="4">
        <v>0</v>
      </c>
      <c r="G54" s="4">
        <v>0</v>
      </c>
      <c r="H54" s="4">
        <v>-2.12</v>
      </c>
    </row>
    <row r="55" spans="2:8" x14ac:dyDescent="0.3">
      <c r="B55" s="5" t="s">
        <v>93</v>
      </c>
      <c r="C55" s="6"/>
      <c r="D55" s="7">
        <f>SUM(D43:D54)</f>
        <v>-225.66000000000003</v>
      </c>
      <c r="E55" s="7">
        <f>SUM(E43:E52)</f>
        <v>13.039999999999992</v>
      </c>
      <c r="F55" s="7">
        <f>SUM(F43:F52)</f>
        <v>31.959999999999994</v>
      </c>
      <c r="G55" s="7">
        <f>SUM(G43:G52)</f>
        <v>114.55999999999999</v>
      </c>
      <c r="H55" s="7">
        <f>SUM(H43:H54)</f>
        <v>-27.36000000000001</v>
      </c>
    </row>
    <row r="56" spans="2:8" x14ac:dyDescent="0.3">
      <c r="B56" s="1"/>
      <c r="D56" s="14"/>
      <c r="E56" s="14"/>
      <c r="F56" s="14"/>
      <c r="G56" s="14"/>
      <c r="H56" s="14"/>
    </row>
    <row r="57" spans="2:8" x14ac:dyDescent="0.3">
      <c r="B57" s="10" t="s">
        <v>94</v>
      </c>
      <c r="C57" s="13"/>
      <c r="D57" s="11">
        <f>D39+D55</f>
        <v>2859.1499999999987</v>
      </c>
      <c r="E57" s="11">
        <f>E39+E55</f>
        <v>4208.3700000000035</v>
      </c>
      <c r="F57" s="11">
        <f>F39+F55</f>
        <v>5589.6499999999951</v>
      </c>
      <c r="G57" s="11">
        <f>G39+G55</f>
        <v>3824.2700000000073</v>
      </c>
      <c r="H57" s="11">
        <f>H39+H55</f>
        <v>4367.3300000000054</v>
      </c>
    </row>
  </sheetData>
  <pageMargins left="0.7" right="0.7" top="0.75" bottom="0.75" header="0.3" footer="0.3"/>
  <pageSetup orientation="portrait" r:id="rId1"/>
  <ignoredErrors>
    <ignoredError sqref="E55:G55" formulaRange="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C541A-BB43-4177-8E0A-000314E569AA}">
  <dimension ref="B2:L76"/>
  <sheetViews>
    <sheetView showGridLines="0" topLeftCell="A3" zoomScale="112" workbookViewId="0">
      <selection activeCell="I15" sqref="I15"/>
    </sheetView>
  </sheetViews>
  <sheetFormatPr defaultRowHeight="14.4" x14ac:dyDescent="0.3"/>
  <cols>
    <col min="1" max="1" width="3.5546875" customWidth="1"/>
    <col min="2" max="2" width="63.109375" bestFit="1" customWidth="1"/>
    <col min="4" max="8" width="9.6640625" bestFit="1" customWidth="1"/>
  </cols>
  <sheetData>
    <row r="2" spans="2:8" ht="28.8" x14ac:dyDescent="0.55000000000000004">
      <c r="B2" s="16" t="s">
        <v>160</v>
      </c>
      <c r="C2" s="3"/>
      <c r="D2" s="3"/>
      <c r="E2" s="3"/>
      <c r="F2" s="3"/>
      <c r="G2" s="3"/>
      <c r="H2" s="3"/>
    </row>
    <row r="3" spans="2:8" x14ac:dyDescent="0.3">
      <c r="B3" s="17" t="s">
        <v>161</v>
      </c>
      <c r="C3" s="3"/>
      <c r="D3" s="3"/>
      <c r="E3" s="33"/>
      <c r="F3" s="33"/>
      <c r="G3" s="33"/>
      <c r="H3" s="33"/>
    </row>
    <row r="4" spans="2:8" x14ac:dyDescent="0.3">
      <c r="B4" s="2" t="s">
        <v>0</v>
      </c>
      <c r="C4" s="3"/>
      <c r="D4" s="3"/>
      <c r="E4" s="18"/>
      <c r="F4" s="18"/>
      <c r="G4" s="18"/>
      <c r="H4" s="18"/>
    </row>
    <row r="5" spans="2:8" x14ac:dyDescent="0.3">
      <c r="B5" s="1"/>
    </row>
    <row r="6" spans="2:8" x14ac:dyDescent="0.3">
      <c r="B6" s="2" t="s">
        <v>1</v>
      </c>
      <c r="C6" s="3"/>
      <c r="D6" s="2">
        <v>2022</v>
      </c>
      <c r="E6" s="2">
        <f>D6+1</f>
        <v>2023</v>
      </c>
      <c r="F6" s="2">
        <f t="shared" ref="F6:H6" si="0">E6+1</f>
        <v>2024</v>
      </c>
      <c r="G6" s="2">
        <f t="shared" si="0"/>
        <v>2025</v>
      </c>
      <c r="H6" s="2">
        <f t="shared" si="0"/>
        <v>2026</v>
      </c>
    </row>
    <row r="7" spans="2:8" x14ac:dyDescent="0.3">
      <c r="B7" s="28" t="s">
        <v>375</v>
      </c>
    </row>
    <row r="8" spans="2:8" x14ac:dyDescent="0.3">
      <c r="B8" s="28"/>
    </row>
    <row r="9" spans="2:8" x14ac:dyDescent="0.3">
      <c r="B9" s="1" t="s">
        <v>2</v>
      </c>
    </row>
    <row r="10" spans="2:8" x14ac:dyDescent="0.3">
      <c r="B10" s="1" t="s">
        <v>3</v>
      </c>
    </row>
    <row r="11" spans="2:8" x14ac:dyDescent="0.3">
      <c r="B11" t="s">
        <v>4</v>
      </c>
      <c r="D11" s="25">
        <v>4184.46</v>
      </c>
      <c r="E11" s="4">
        <v>4145.6499999999996</v>
      </c>
      <c r="F11" s="4">
        <v>4446.2</v>
      </c>
      <c r="G11" s="4">
        <v>6787.62</v>
      </c>
      <c r="H11" s="4">
        <v>7146.23</v>
      </c>
    </row>
    <row r="12" spans="2:8" x14ac:dyDescent="0.3">
      <c r="B12" t="s">
        <v>5</v>
      </c>
      <c r="D12" s="25">
        <v>905.75</v>
      </c>
      <c r="E12" s="4">
        <v>1208.92</v>
      </c>
      <c r="F12" s="4">
        <v>1856.27</v>
      </c>
      <c r="G12" s="4">
        <v>1843.72</v>
      </c>
      <c r="H12" s="4">
        <v>2018.77</v>
      </c>
    </row>
    <row r="13" spans="2:8" x14ac:dyDescent="0.3">
      <c r="B13" t="s">
        <v>6</v>
      </c>
      <c r="D13" s="25">
        <v>426.43</v>
      </c>
      <c r="E13" s="4">
        <v>1019.59</v>
      </c>
      <c r="F13" s="4">
        <v>2698.37</v>
      </c>
      <c r="G13" s="4">
        <v>1254.49</v>
      </c>
      <c r="H13" s="4">
        <v>1848.67</v>
      </c>
    </row>
    <row r="14" spans="2:8" x14ac:dyDescent="0.3">
      <c r="B14" t="s">
        <v>7</v>
      </c>
      <c r="D14" s="25">
        <v>242.86</v>
      </c>
      <c r="E14" s="4">
        <v>228.48</v>
      </c>
      <c r="F14" s="4">
        <v>419.19</v>
      </c>
      <c r="G14" s="4">
        <v>219.58</v>
      </c>
      <c r="H14" s="4">
        <v>219.08</v>
      </c>
    </row>
    <row r="15" spans="2:8" x14ac:dyDescent="0.3">
      <c r="B15" t="s">
        <v>8</v>
      </c>
      <c r="D15" s="25">
        <v>185.99</v>
      </c>
      <c r="E15" s="4">
        <v>187.41</v>
      </c>
      <c r="F15" s="4">
        <v>424.96</v>
      </c>
      <c r="G15" s="4">
        <v>369.18</v>
      </c>
      <c r="H15" s="4">
        <v>256.2</v>
      </c>
    </row>
    <row r="16" spans="2:8" x14ac:dyDescent="0.3">
      <c r="B16" t="s">
        <v>9</v>
      </c>
      <c r="D16" s="25">
        <v>515.47</v>
      </c>
      <c r="E16" s="4">
        <v>781.73</v>
      </c>
      <c r="F16" s="4">
        <v>583.13</v>
      </c>
      <c r="G16" s="4">
        <v>608</v>
      </c>
      <c r="H16" s="4">
        <v>656.09</v>
      </c>
    </row>
    <row r="17" spans="2:8" x14ac:dyDescent="0.3">
      <c r="B17" s="8" t="s">
        <v>10</v>
      </c>
      <c r="D17" s="25"/>
      <c r="E17" s="4"/>
      <c r="F17" s="4"/>
      <c r="G17" s="4"/>
      <c r="H17" s="4"/>
    </row>
    <row r="18" spans="2:8" x14ac:dyDescent="0.3">
      <c r="B18" t="s">
        <v>11</v>
      </c>
      <c r="D18" s="25">
        <v>551.36</v>
      </c>
      <c r="E18" s="4">
        <v>782.98</v>
      </c>
      <c r="F18" s="4">
        <v>801.38</v>
      </c>
      <c r="G18" s="4">
        <v>871.79</v>
      </c>
      <c r="H18" s="4">
        <v>119.82</v>
      </c>
    </row>
    <row r="19" spans="2:8" x14ac:dyDescent="0.3">
      <c r="B19" t="s">
        <v>12</v>
      </c>
      <c r="D19" s="25">
        <v>2.4</v>
      </c>
      <c r="E19" s="4">
        <v>2.17</v>
      </c>
      <c r="F19" s="4">
        <v>1.78</v>
      </c>
      <c r="G19" s="4">
        <v>8.7100000000000009</v>
      </c>
      <c r="H19" s="4">
        <v>5.36</v>
      </c>
    </row>
    <row r="20" spans="2:8" x14ac:dyDescent="0.3">
      <c r="B20" t="s">
        <v>13</v>
      </c>
      <c r="D20" s="25">
        <v>0</v>
      </c>
      <c r="E20" s="4">
        <v>0</v>
      </c>
      <c r="F20" s="4">
        <v>0</v>
      </c>
      <c r="G20" s="4">
        <v>0</v>
      </c>
      <c r="H20" s="4">
        <v>1.57</v>
      </c>
    </row>
    <row r="21" spans="2:8" x14ac:dyDescent="0.3">
      <c r="B21" t="s">
        <v>14</v>
      </c>
      <c r="D21" s="25">
        <v>486.05</v>
      </c>
      <c r="E21" s="4">
        <v>363.18</v>
      </c>
      <c r="F21" s="4">
        <v>606.51</v>
      </c>
      <c r="G21" s="4">
        <v>877.84</v>
      </c>
      <c r="H21" s="4">
        <v>1537.79</v>
      </c>
    </row>
    <row r="22" spans="2:8" x14ac:dyDescent="0.3">
      <c r="B22" t="s">
        <v>15</v>
      </c>
      <c r="D22" s="25">
        <v>26.02</v>
      </c>
      <c r="E22" s="4">
        <v>18.670000000000002</v>
      </c>
      <c r="F22" s="4">
        <v>23.32</v>
      </c>
      <c r="G22" s="4">
        <v>16.12</v>
      </c>
      <c r="H22" s="4">
        <v>15.74</v>
      </c>
    </row>
    <row r="23" spans="2:8" x14ac:dyDescent="0.3">
      <c r="B23" t="s">
        <v>16</v>
      </c>
      <c r="D23" s="25">
        <v>172.46</v>
      </c>
      <c r="E23" s="4">
        <v>189.52</v>
      </c>
      <c r="F23" s="4">
        <v>198.11</v>
      </c>
      <c r="G23" s="4">
        <v>221.62</v>
      </c>
      <c r="H23" s="4">
        <v>248.62</v>
      </c>
    </row>
    <row r="24" spans="2:8" x14ac:dyDescent="0.3">
      <c r="B24" t="s">
        <v>17</v>
      </c>
      <c r="D24" s="25">
        <v>132.87</v>
      </c>
      <c r="E24" s="4">
        <v>334.54</v>
      </c>
      <c r="F24" s="4">
        <v>327.81</v>
      </c>
      <c r="G24" s="4">
        <v>301.02</v>
      </c>
      <c r="H24" s="4">
        <v>275.91000000000003</v>
      </c>
    </row>
    <row r="25" spans="2:8" x14ac:dyDescent="0.3">
      <c r="B25" s="5" t="s">
        <v>18</v>
      </c>
      <c r="C25" s="6"/>
      <c r="D25" s="26">
        <f>SUM(D11:D24)</f>
        <v>7832.12</v>
      </c>
      <c r="E25" s="7">
        <f t="shared" ref="E25:H25" si="1">SUM(E11:E24)</f>
        <v>9262.84</v>
      </c>
      <c r="F25" s="7">
        <f t="shared" si="1"/>
        <v>12387.029999999999</v>
      </c>
      <c r="G25" s="7">
        <f t="shared" si="1"/>
        <v>13379.690000000002</v>
      </c>
      <c r="H25" s="7">
        <f t="shared" si="1"/>
        <v>14349.850000000002</v>
      </c>
    </row>
    <row r="26" spans="2:8" x14ac:dyDescent="0.3">
      <c r="D26" s="27"/>
    </row>
    <row r="27" spans="2:8" x14ac:dyDescent="0.3">
      <c r="B27" s="8" t="s">
        <v>19</v>
      </c>
      <c r="D27" s="27"/>
    </row>
    <row r="28" spans="2:8" x14ac:dyDescent="0.3">
      <c r="B28" t="s">
        <v>20</v>
      </c>
      <c r="D28" s="25">
        <v>6152.98</v>
      </c>
      <c r="E28" s="4">
        <v>6210.64</v>
      </c>
      <c r="F28" s="4">
        <v>5923.41</v>
      </c>
      <c r="G28" s="4">
        <v>6719.27</v>
      </c>
      <c r="H28" s="4">
        <v>5743.69</v>
      </c>
    </row>
    <row r="29" spans="2:8" x14ac:dyDescent="0.3">
      <c r="B29" s="8" t="s">
        <v>10</v>
      </c>
      <c r="D29" s="25"/>
      <c r="E29" s="4"/>
      <c r="F29" s="4"/>
      <c r="G29" s="4"/>
      <c r="H29" s="4"/>
    </row>
    <row r="30" spans="2:8" x14ac:dyDescent="0.3">
      <c r="B30" t="s">
        <v>11</v>
      </c>
      <c r="D30" s="25">
        <v>2180.6999999999998</v>
      </c>
      <c r="E30" s="4">
        <v>2697</v>
      </c>
      <c r="F30" s="4">
        <v>3203.41</v>
      </c>
      <c r="G30" s="4">
        <v>3244.96</v>
      </c>
      <c r="H30" s="4">
        <v>6285.83</v>
      </c>
    </row>
    <row r="31" spans="2:8" x14ac:dyDescent="0.3">
      <c r="B31" t="s">
        <v>12</v>
      </c>
      <c r="D31" s="25">
        <v>3871.44</v>
      </c>
      <c r="E31" s="4">
        <v>4636.9399999999996</v>
      </c>
      <c r="F31" s="4">
        <v>4889.05</v>
      </c>
      <c r="G31" s="4">
        <v>4313.6499999999996</v>
      </c>
      <c r="H31" s="4">
        <v>4461.8</v>
      </c>
    </row>
    <row r="32" spans="2:8" x14ac:dyDescent="0.3">
      <c r="B32" t="s">
        <v>21</v>
      </c>
      <c r="D32" s="25">
        <v>621.72</v>
      </c>
      <c r="E32" s="4">
        <v>523.1</v>
      </c>
      <c r="F32" s="4">
        <v>829.34</v>
      </c>
      <c r="G32" s="4">
        <v>445.28</v>
      </c>
      <c r="H32" s="4">
        <v>672.83</v>
      </c>
    </row>
    <row r="33" spans="2:12" x14ac:dyDescent="0.3">
      <c r="B33" t="s">
        <v>22</v>
      </c>
      <c r="D33" s="25">
        <v>242.61</v>
      </c>
      <c r="E33" s="4">
        <v>320.72000000000003</v>
      </c>
      <c r="F33" s="4">
        <v>254.67</v>
      </c>
      <c r="G33" s="4">
        <v>336.7</v>
      </c>
      <c r="H33" s="4">
        <v>400.85</v>
      </c>
    </row>
    <row r="34" spans="2:12" x14ac:dyDescent="0.3">
      <c r="B34" t="s">
        <v>13</v>
      </c>
      <c r="D34" s="25">
        <v>0</v>
      </c>
      <c r="E34" s="4">
        <v>0</v>
      </c>
      <c r="F34" s="4">
        <v>0</v>
      </c>
      <c r="G34" s="4">
        <v>0</v>
      </c>
      <c r="H34" s="4">
        <v>0.46</v>
      </c>
    </row>
    <row r="35" spans="2:12" x14ac:dyDescent="0.3">
      <c r="B35" t="s">
        <v>14</v>
      </c>
      <c r="D35" s="25">
        <v>1533.5</v>
      </c>
      <c r="E35" s="4">
        <v>1592.78</v>
      </c>
      <c r="F35" s="4">
        <v>1651.35</v>
      </c>
      <c r="G35" s="4">
        <v>1158.1099999999999</v>
      </c>
      <c r="H35" s="4">
        <v>1822.67</v>
      </c>
    </row>
    <row r="36" spans="2:12" x14ac:dyDescent="0.3">
      <c r="B36" t="s">
        <v>23</v>
      </c>
      <c r="D36" s="25">
        <v>541.25</v>
      </c>
      <c r="E36" s="4">
        <v>553.98</v>
      </c>
      <c r="F36" s="4">
        <v>785.83</v>
      </c>
      <c r="G36" s="4">
        <v>773.71</v>
      </c>
      <c r="H36" s="4">
        <v>796.51</v>
      </c>
    </row>
    <row r="37" spans="2:12" x14ac:dyDescent="0.3">
      <c r="B37" t="s">
        <v>24</v>
      </c>
      <c r="D37" s="25">
        <v>8.1300000000000008</v>
      </c>
      <c r="E37" s="4">
        <v>0</v>
      </c>
      <c r="F37" s="4">
        <v>0</v>
      </c>
      <c r="G37" s="4">
        <v>0</v>
      </c>
      <c r="H37" s="4">
        <v>0</v>
      </c>
    </row>
    <row r="38" spans="2:12" x14ac:dyDescent="0.3">
      <c r="B38" s="5" t="s">
        <v>25</v>
      </c>
      <c r="C38" s="6"/>
      <c r="D38" s="7">
        <f>SUM(D28:D37)</f>
        <v>15152.33</v>
      </c>
      <c r="E38" s="7">
        <f>SUM(E28:E37)</f>
        <v>16535.16</v>
      </c>
      <c r="F38" s="7">
        <f>SUM(F28:F37)</f>
        <v>17537.060000000001</v>
      </c>
      <c r="G38" s="7">
        <f>SUM(G28:G37)</f>
        <v>16991.68</v>
      </c>
      <c r="H38" s="7">
        <f>SUM(H28:H37)</f>
        <v>20184.639999999996</v>
      </c>
    </row>
    <row r="39" spans="2:12" x14ac:dyDescent="0.3">
      <c r="B39" s="1"/>
      <c r="D39" s="9"/>
      <c r="E39" s="9"/>
      <c r="F39" s="9"/>
      <c r="G39" s="9"/>
      <c r="H39" s="9"/>
    </row>
    <row r="40" spans="2:12" x14ac:dyDescent="0.3">
      <c r="B40" s="10" t="s">
        <v>26</v>
      </c>
      <c r="C40" s="10"/>
      <c r="D40" s="11">
        <f>D25+D38</f>
        <v>22984.45</v>
      </c>
      <c r="E40" s="11">
        <f t="shared" ref="E40:H40" si="2">E25+E38</f>
        <v>25798</v>
      </c>
      <c r="F40" s="11">
        <f t="shared" si="2"/>
        <v>29924.09</v>
      </c>
      <c r="G40" s="11">
        <f t="shared" si="2"/>
        <v>30371.370000000003</v>
      </c>
      <c r="H40" s="11">
        <f t="shared" si="2"/>
        <v>34534.49</v>
      </c>
      <c r="I40" s="1"/>
      <c r="J40" s="1"/>
      <c r="K40" s="1"/>
      <c r="L40" s="1"/>
    </row>
    <row r="41" spans="2:12" x14ac:dyDescent="0.3">
      <c r="B41" s="1"/>
      <c r="C41" s="1"/>
      <c r="D41" s="9"/>
      <c r="E41" s="1"/>
      <c r="F41" s="1"/>
      <c r="G41" s="1"/>
      <c r="H41" s="1"/>
      <c r="I41" s="1"/>
      <c r="J41" s="1"/>
      <c r="K41" s="1"/>
      <c r="L41" s="1"/>
    </row>
    <row r="42" spans="2:12" x14ac:dyDescent="0.3">
      <c r="B42" s="1" t="s">
        <v>27</v>
      </c>
      <c r="C42" s="1"/>
      <c r="D42" s="9"/>
      <c r="E42" s="1"/>
      <c r="F42" s="1"/>
      <c r="G42" s="1"/>
      <c r="H42" s="1"/>
      <c r="I42" s="1"/>
      <c r="J42" s="1"/>
      <c r="K42" s="1"/>
      <c r="L42" s="1"/>
    </row>
    <row r="43" spans="2:12" x14ac:dyDescent="0.3">
      <c r="B43" t="s">
        <v>28</v>
      </c>
      <c r="C43" s="1"/>
      <c r="D43" s="9"/>
      <c r="E43" s="1"/>
      <c r="F43" s="1"/>
      <c r="G43" s="1"/>
      <c r="H43" s="1"/>
      <c r="I43" s="1"/>
      <c r="J43" s="1"/>
      <c r="K43" s="1"/>
      <c r="L43" s="1"/>
    </row>
    <row r="44" spans="2:12" x14ac:dyDescent="0.3">
      <c r="B44" t="s">
        <v>29</v>
      </c>
      <c r="C44" s="1"/>
      <c r="D44" s="4">
        <v>95.92</v>
      </c>
      <c r="E44" s="4">
        <v>95.92</v>
      </c>
      <c r="F44" s="4">
        <v>95.92</v>
      </c>
      <c r="G44" s="4">
        <v>95.92</v>
      </c>
      <c r="H44" s="4">
        <v>95.92</v>
      </c>
      <c r="I44" s="1"/>
      <c r="J44" s="1"/>
      <c r="K44" s="1"/>
      <c r="L44" s="1"/>
    </row>
    <row r="45" spans="2:12" x14ac:dyDescent="0.3">
      <c r="B45" t="s">
        <v>30</v>
      </c>
      <c r="C45" s="1"/>
      <c r="D45" s="4">
        <v>13715.64</v>
      </c>
      <c r="E45" s="4">
        <v>15896.31</v>
      </c>
      <c r="F45" s="4">
        <v>18632.38</v>
      </c>
      <c r="G45" s="4">
        <v>19303.89</v>
      </c>
      <c r="H45" s="4">
        <v>21275.67</v>
      </c>
      <c r="I45" s="1"/>
      <c r="J45" s="1"/>
      <c r="K45" s="1"/>
      <c r="L45" s="1"/>
    </row>
    <row r="46" spans="2:12" x14ac:dyDescent="0.3">
      <c r="B46" s="1" t="s">
        <v>31</v>
      </c>
      <c r="C46" s="1"/>
      <c r="D46" s="14">
        <f>SUM(D44:D45)</f>
        <v>13811.56</v>
      </c>
      <c r="E46" s="14">
        <f>SUM(E44:E45)</f>
        <v>15992.23</v>
      </c>
      <c r="F46" s="14">
        <f>SUM(F44:F45)</f>
        <v>18728.3</v>
      </c>
      <c r="G46" s="14">
        <f>SUM(G44:G45)</f>
        <v>19399.809999999998</v>
      </c>
      <c r="H46" s="14">
        <f>SUM(H44:H45)</f>
        <v>21371.589999999997</v>
      </c>
      <c r="J46" s="1"/>
      <c r="K46" s="1"/>
      <c r="L46" s="1"/>
    </row>
    <row r="47" spans="2:12" x14ac:dyDescent="0.3">
      <c r="B47" t="s">
        <v>32</v>
      </c>
      <c r="C47" s="1"/>
      <c r="D47" s="4">
        <v>387.53</v>
      </c>
      <c r="E47" s="4">
        <v>453.66</v>
      </c>
      <c r="F47" s="4">
        <v>695.38</v>
      </c>
      <c r="G47" s="4">
        <v>659.24</v>
      </c>
      <c r="H47" s="4">
        <v>643.39</v>
      </c>
      <c r="I47" s="1"/>
      <c r="J47" s="1"/>
      <c r="K47" s="1"/>
      <c r="L47" s="1"/>
    </row>
    <row r="48" spans="2:12" x14ac:dyDescent="0.3">
      <c r="B48" s="5" t="s">
        <v>33</v>
      </c>
      <c r="C48" s="5"/>
      <c r="D48" s="7">
        <f>SUM(D46,D47)</f>
        <v>14199.09</v>
      </c>
      <c r="E48" s="7">
        <f t="shared" ref="E48:H48" si="3">SUM(E46,E47)</f>
        <v>16445.89</v>
      </c>
      <c r="F48" s="7">
        <f t="shared" si="3"/>
        <v>19423.68</v>
      </c>
      <c r="G48" s="7">
        <f t="shared" si="3"/>
        <v>20059.05</v>
      </c>
      <c r="H48" s="7">
        <f t="shared" si="3"/>
        <v>22014.979999999996</v>
      </c>
      <c r="I48" s="1"/>
      <c r="J48" s="1"/>
      <c r="K48" s="1"/>
      <c r="L48" s="1"/>
    </row>
    <row r="50" spans="2:8" x14ac:dyDescent="0.3">
      <c r="B50" s="1" t="s">
        <v>34</v>
      </c>
    </row>
    <row r="51" spans="2:8" x14ac:dyDescent="0.3">
      <c r="B51" s="1" t="s">
        <v>35</v>
      </c>
    </row>
    <row r="52" spans="2:8" x14ac:dyDescent="0.3">
      <c r="B52" t="s">
        <v>36</v>
      </c>
    </row>
    <row r="53" spans="2:8" x14ac:dyDescent="0.3">
      <c r="B53" t="s">
        <v>37</v>
      </c>
      <c r="D53" s="25">
        <v>44.54</v>
      </c>
      <c r="E53" s="4">
        <v>76.150000000000006</v>
      </c>
      <c r="F53" s="4">
        <v>54.38</v>
      </c>
      <c r="G53" s="4">
        <v>259.62</v>
      </c>
      <c r="H53" s="4">
        <v>1247.17</v>
      </c>
    </row>
    <row r="54" spans="2:8" x14ac:dyDescent="0.3">
      <c r="B54" t="s">
        <v>38</v>
      </c>
      <c r="D54" s="25">
        <v>598.37</v>
      </c>
      <c r="E54" s="4">
        <v>728.94</v>
      </c>
      <c r="F54" s="4">
        <v>1095.29</v>
      </c>
      <c r="G54" s="4">
        <v>1123.3</v>
      </c>
      <c r="H54" s="4">
        <v>1306.94</v>
      </c>
    </row>
    <row r="55" spans="2:8" x14ac:dyDescent="0.3">
      <c r="B55" t="s">
        <v>39</v>
      </c>
      <c r="D55" s="4">
        <v>2.1800000000000002</v>
      </c>
      <c r="E55" s="4">
        <v>46.38</v>
      </c>
      <c r="F55" s="4">
        <v>240.58</v>
      </c>
      <c r="G55" s="4">
        <v>79.930000000000007</v>
      </c>
      <c r="H55" s="4">
        <v>113.66</v>
      </c>
    </row>
    <row r="56" spans="2:8" x14ac:dyDescent="0.3">
      <c r="B56" t="s">
        <v>40</v>
      </c>
      <c r="D56" s="4">
        <v>218.32</v>
      </c>
      <c r="E56" s="4">
        <v>230.7</v>
      </c>
      <c r="F56" s="4">
        <v>222.56</v>
      </c>
      <c r="G56" s="4">
        <v>257.77999999999997</v>
      </c>
      <c r="H56" s="4">
        <v>273.8</v>
      </c>
    </row>
    <row r="57" spans="2:8" x14ac:dyDescent="0.3">
      <c r="B57" t="s">
        <v>41</v>
      </c>
      <c r="D57" s="4">
        <v>348.85</v>
      </c>
      <c r="E57" s="4">
        <v>334.84</v>
      </c>
      <c r="F57" s="4">
        <v>352.17</v>
      </c>
      <c r="G57" s="4">
        <v>404.91</v>
      </c>
      <c r="H57" s="4">
        <v>403.26</v>
      </c>
    </row>
    <row r="58" spans="2:8" x14ac:dyDescent="0.3">
      <c r="B58" t="s">
        <v>42</v>
      </c>
      <c r="D58" s="4">
        <v>2.11</v>
      </c>
      <c r="E58" s="4">
        <v>39.17</v>
      </c>
      <c r="F58" s="4">
        <v>34.47</v>
      </c>
      <c r="G58" s="4">
        <v>45.55</v>
      </c>
      <c r="H58" s="4">
        <v>37.65</v>
      </c>
    </row>
    <row r="59" spans="2:8" x14ac:dyDescent="0.3">
      <c r="B59" s="5" t="s">
        <v>43</v>
      </c>
      <c r="C59" s="6"/>
      <c r="D59" s="7">
        <f>SUM(D53:D58)</f>
        <v>1214.3699999999997</v>
      </c>
      <c r="E59" s="7">
        <f t="shared" ref="E59:H59" si="4">SUM(E53:E58)</f>
        <v>1456.18</v>
      </c>
      <c r="F59" s="7">
        <f t="shared" si="4"/>
        <v>1999.45</v>
      </c>
      <c r="G59" s="7">
        <f t="shared" si="4"/>
        <v>2171.09</v>
      </c>
      <c r="H59" s="7">
        <f t="shared" si="4"/>
        <v>3382.48</v>
      </c>
    </row>
    <row r="61" spans="2:8" x14ac:dyDescent="0.3">
      <c r="B61" s="1" t="s">
        <v>44</v>
      </c>
    </row>
    <row r="62" spans="2:8" x14ac:dyDescent="0.3">
      <c r="B62" t="s">
        <v>36</v>
      </c>
    </row>
    <row r="63" spans="2:8" x14ac:dyDescent="0.3">
      <c r="B63" t="s">
        <v>37</v>
      </c>
      <c r="D63" s="25">
        <v>731.12</v>
      </c>
      <c r="E63" s="4">
        <v>896.06</v>
      </c>
      <c r="F63" s="4">
        <v>1052.76</v>
      </c>
      <c r="G63" s="4">
        <v>604.13</v>
      </c>
      <c r="H63" s="4">
        <v>1046.0899999999999</v>
      </c>
    </row>
    <row r="64" spans="2:8" x14ac:dyDescent="0.3">
      <c r="B64" t="s">
        <v>38</v>
      </c>
      <c r="D64" s="25">
        <v>212.85</v>
      </c>
      <c r="E64" s="4">
        <v>231.47</v>
      </c>
      <c r="F64" s="4">
        <v>271.95</v>
      </c>
      <c r="G64" s="4">
        <v>303.24</v>
      </c>
      <c r="H64" s="4">
        <v>328.73</v>
      </c>
    </row>
    <row r="65" spans="2:8" x14ac:dyDescent="0.3">
      <c r="B65" t="s">
        <v>45</v>
      </c>
      <c r="D65" s="25"/>
      <c r="E65" s="4"/>
      <c r="F65" s="4"/>
      <c r="G65" s="4"/>
      <c r="H65" s="4"/>
    </row>
    <row r="66" spans="2:8" x14ac:dyDescent="0.3">
      <c r="B66" t="s">
        <v>46</v>
      </c>
      <c r="D66" s="25">
        <v>83.58</v>
      </c>
      <c r="E66" s="4">
        <v>143.88</v>
      </c>
      <c r="F66" s="4">
        <v>250.27</v>
      </c>
      <c r="G66" s="4">
        <v>208.58</v>
      </c>
      <c r="H66" s="4">
        <v>258.56</v>
      </c>
    </row>
    <row r="67" spans="2:8" x14ac:dyDescent="0.3">
      <c r="B67" t="s">
        <v>47</v>
      </c>
      <c r="D67" s="25">
        <v>4080.72</v>
      </c>
      <c r="E67" s="4">
        <v>3491.56</v>
      </c>
      <c r="F67" s="4">
        <v>3581.07</v>
      </c>
      <c r="G67" s="4">
        <v>3639.42</v>
      </c>
      <c r="H67" s="4">
        <v>3604.48</v>
      </c>
    </row>
    <row r="68" spans="2:8" x14ac:dyDescent="0.3">
      <c r="B68" t="s">
        <v>39</v>
      </c>
      <c r="D68" s="25">
        <v>1886.81</v>
      </c>
      <c r="E68" s="4">
        <v>2436.02</v>
      </c>
      <c r="F68" s="4">
        <v>2675.44</v>
      </c>
      <c r="G68" s="4">
        <v>2742.04</v>
      </c>
      <c r="H68" s="4">
        <v>3044.72</v>
      </c>
    </row>
    <row r="69" spans="2:8" x14ac:dyDescent="0.3">
      <c r="B69" t="s">
        <v>48</v>
      </c>
      <c r="D69" s="25">
        <v>376.09</v>
      </c>
      <c r="E69" s="4">
        <v>459.04</v>
      </c>
      <c r="F69" s="4">
        <v>484.48</v>
      </c>
      <c r="G69" s="4">
        <v>450.58</v>
      </c>
      <c r="H69" s="4">
        <v>457.86</v>
      </c>
    </row>
    <row r="70" spans="2:8" x14ac:dyDescent="0.3">
      <c r="B70" t="s">
        <v>40</v>
      </c>
      <c r="D70" s="25">
        <v>69.7</v>
      </c>
      <c r="E70" s="4">
        <v>74.209999999999994</v>
      </c>
      <c r="F70" s="4">
        <v>62.48</v>
      </c>
      <c r="G70" s="4">
        <v>67.150000000000006</v>
      </c>
      <c r="H70" s="4">
        <v>216.58</v>
      </c>
    </row>
    <row r="71" spans="2:8" x14ac:dyDescent="0.3">
      <c r="B71" t="s">
        <v>49</v>
      </c>
      <c r="D71" s="25">
        <v>130.12</v>
      </c>
      <c r="E71" s="4">
        <v>163.69</v>
      </c>
      <c r="F71" s="4">
        <v>122.51</v>
      </c>
      <c r="G71" s="4">
        <v>126.09</v>
      </c>
      <c r="H71" s="4">
        <v>180.01</v>
      </c>
    </row>
    <row r="72" spans="2:8" x14ac:dyDescent="0.3">
      <c r="B72" s="5" t="s">
        <v>50</v>
      </c>
      <c r="C72" s="6"/>
      <c r="D72" s="7">
        <f>SUM(D63:D71)</f>
        <v>7570.99</v>
      </c>
      <c r="E72" s="7">
        <f t="shared" ref="E72:H72" si="5">SUM(E63:E71)</f>
        <v>7895.9299999999994</v>
      </c>
      <c r="F72" s="7">
        <f t="shared" si="5"/>
        <v>8500.9599999999991</v>
      </c>
      <c r="G72" s="7">
        <f t="shared" si="5"/>
        <v>8141.23</v>
      </c>
      <c r="H72" s="7">
        <f t="shared" si="5"/>
        <v>9137.0300000000007</v>
      </c>
    </row>
    <row r="73" spans="2:8" x14ac:dyDescent="0.3">
      <c r="D73" s="12"/>
    </row>
    <row r="74" spans="2:8" x14ac:dyDescent="0.3">
      <c r="B74" s="10" t="s">
        <v>51</v>
      </c>
      <c r="C74" s="13"/>
      <c r="D74" s="11">
        <f>D48+D59+D72</f>
        <v>22984.449999999997</v>
      </c>
      <c r="E74" s="11">
        <f>E48+E59+E72</f>
        <v>25798</v>
      </c>
      <c r="F74" s="11">
        <f>F48+F59+F72</f>
        <v>29924.09</v>
      </c>
      <c r="G74" s="11">
        <f>G48+G59+G72</f>
        <v>30371.37</v>
      </c>
      <c r="H74" s="11">
        <f>H48+H59+H72</f>
        <v>34534.49</v>
      </c>
    </row>
    <row r="76" spans="2:8" x14ac:dyDescent="0.3">
      <c r="D76" t="b">
        <f>D74=D40</f>
        <v>1</v>
      </c>
      <c r="E76" t="b">
        <f>E74=E40</f>
        <v>1</v>
      </c>
      <c r="F76" t="b">
        <f>F74=F40</f>
        <v>1</v>
      </c>
      <c r="G76" t="b">
        <f>G74=G40</f>
        <v>1</v>
      </c>
      <c r="H76" t="b">
        <f>H74=H40</f>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DD963-DB6D-4714-A487-CD66576D27B4}">
  <dimension ref="B2:H83"/>
  <sheetViews>
    <sheetView showGridLines="0" topLeftCell="A20" zoomScale="96" workbookViewId="0">
      <selection activeCell="D44" sqref="D44"/>
    </sheetView>
  </sheetViews>
  <sheetFormatPr defaultRowHeight="14.4" x14ac:dyDescent="0.3"/>
  <cols>
    <col min="1" max="1" width="3.88671875" customWidth="1"/>
    <col min="2" max="2" width="143.5546875" bestFit="1" customWidth="1"/>
    <col min="4" max="8" width="9.6640625" bestFit="1" customWidth="1"/>
  </cols>
  <sheetData>
    <row r="2" spans="2:8" ht="28.8" x14ac:dyDescent="0.55000000000000004">
      <c r="B2" s="16" t="s">
        <v>160</v>
      </c>
      <c r="C2" s="3"/>
      <c r="D2" s="3"/>
      <c r="E2" s="3"/>
      <c r="F2" s="3"/>
      <c r="G2" s="3"/>
      <c r="H2" s="3"/>
    </row>
    <row r="3" spans="2:8" x14ac:dyDescent="0.3">
      <c r="B3" s="17" t="s">
        <v>161</v>
      </c>
      <c r="C3" s="3"/>
      <c r="D3" s="3"/>
      <c r="E3" s="33"/>
      <c r="F3" s="33"/>
      <c r="G3" s="33"/>
      <c r="H3" s="33"/>
    </row>
    <row r="4" spans="2:8" x14ac:dyDescent="0.3">
      <c r="B4" s="2" t="s">
        <v>374</v>
      </c>
      <c r="C4" s="3"/>
      <c r="D4" s="3"/>
      <c r="E4" s="18"/>
      <c r="F4" s="18"/>
      <c r="G4" s="18"/>
      <c r="H4" s="18"/>
    </row>
    <row r="6" spans="2:8" x14ac:dyDescent="0.3">
      <c r="B6" s="2" t="s">
        <v>1</v>
      </c>
      <c r="C6" s="3"/>
      <c r="D6" s="2">
        <f>BS!D6</f>
        <v>2022</v>
      </c>
      <c r="E6" s="2">
        <f>D6+1</f>
        <v>2023</v>
      </c>
      <c r="F6" s="2">
        <f t="shared" ref="F6:H6" si="0">E6+1</f>
        <v>2024</v>
      </c>
      <c r="G6" s="2">
        <f t="shared" si="0"/>
        <v>2025</v>
      </c>
      <c r="H6" s="2">
        <f t="shared" si="0"/>
        <v>2026</v>
      </c>
    </row>
    <row r="7" spans="2:8" x14ac:dyDescent="0.3">
      <c r="B7" s="28" t="s">
        <v>375</v>
      </c>
    </row>
    <row r="8" spans="2:8" x14ac:dyDescent="0.3">
      <c r="B8" s="28"/>
    </row>
    <row r="9" spans="2:8" x14ac:dyDescent="0.3">
      <c r="B9" s="1" t="s">
        <v>95</v>
      </c>
    </row>
    <row r="10" spans="2:8" x14ac:dyDescent="0.3">
      <c r="B10" s="1" t="s">
        <v>96</v>
      </c>
      <c r="C10" s="1"/>
      <c r="D10" s="104">
        <v>4187.72</v>
      </c>
      <c r="E10" s="14">
        <v>5688.83</v>
      </c>
      <c r="F10" s="14">
        <v>7347.77</v>
      </c>
      <c r="G10" s="14">
        <v>5103.07</v>
      </c>
      <c r="H10" s="14">
        <v>6003.44</v>
      </c>
    </row>
    <row r="11" spans="2:8" x14ac:dyDescent="0.3">
      <c r="B11" t="s">
        <v>97</v>
      </c>
      <c r="D11" s="25"/>
      <c r="E11" s="4"/>
      <c r="F11" s="4"/>
      <c r="G11" s="4"/>
      <c r="H11" s="4"/>
    </row>
    <row r="12" spans="2:8" x14ac:dyDescent="0.3">
      <c r="B12" t="s">
        <v>98</v>
      </c>
      <c r="D12" s="25">
        <v>816.36</v>
      </c>
      <c r="E12" s="4">
        <v>858.02</v>
      </c>
      <c r="F12" s="4">
        <v>853</v>
      </c>
      <c r="G12" s="4">
        <v>1026.3399999999999</v>
      </c>
      <c r="H12" s="4">
        <v>1228.8499999999999</v>
      </c>
    </row>
    <row r="13" spans="2:8" x14ac:dyDescent="0.3">
      <c r="B13" t="s">
        <v>99</v>
      </c>
      <c r="D13" s="25">
        <v>-44.36</v>
      </c>
      <c r="E13" s="4">
        <v>-11.72</v>
      </c>
      <c r="F13" s="4">
        <v>-2.08</v>
      </c>
      <c r="G13" s="4">
        <v>-3.37</v>
      </c>
      <c r="H13" s="4">
        <v>3.81</v>
      </c>
    </row>
    <row r="14" spans="2:8" x14ac:dyDescent="0.3">
      <c r="B14" t="s">
        <v>100</v>
      </c>
      <c r="D14" s="25">
        <v>-4.2699999999999996</v>
      </c>
      <c r="E14" s="4">
        <v>-2.96</v>
      </c>
      <c r="F14" s="4">
        <v>-5.5</v>
      </c>
      <c r="G14" s="4">
        <v>-2.0699999999999998</v>
      </c>
      <c r="H14" s="4">
        <v>-6.87</v>
      </c>
    </row>
    <row r="15" spans="2:8" x14ac:dyDescent="0.3">
      <c r="B15" t="s">
        <v>101</v>
      </c>
      <c r="D15" s="25">
        <v>95.41</v>
      </c>
      <c r="E15" s="4">
        <v>144.44999999999999</v>
      </c>
      <c r="F15" s="4">
        <v>205.17</v>
      </c>
      <c r="G15" s="4">
        <v>227.02</v>
      </c>
      <c r="H15" s="4">
        <v>195.41</v>
      </c>
    </row>
    <row r="16" spans="2:8" x14ac:dyDescent="0.3">
      <c r="B16" t="s">
        <v>102</v>
      </c>
      <c r="D16" s="25">
        <v>57.56</v>
      </c>
      <c r="E16" s="4">
        <v>63.91</v>
      </c>
      <c r="F16" s="4">
        <v>116.64</v>
      </c>
      <c r="G16" s="4">
        <v>245.18</v>
      </c>
      <c r="H16" s="4">
        <v>5.7</v>
      </c>
    </row>
    <row r="17" spans="2:8" x14ac:dyDescent="0.3">
      <c r="B17" t="s">
        <v>103</v>
      </c>
      <c r="D17" s="25">
        <v>0</v>
      </c>
      <c r="E17" s="4">
        <v>0</v>
      </c>
      <c r="F17" s="4">
        <v>-33.96</v>
      </c>
      <c r="G17" s="4">
        <v>0</v>
      </c>
      <c r="H17" s="4"/>
    </row>
    <row r="18" spans="2:8" x14ac:dyDescent="0.3">
      <c r="B18" t="s">
        <v>104</v>
      </c>
      <c r="D18" s="25">
        <v>2.15</v>
      </c>
      <c r="E18" s="4">
        <v>3.44</v>
      </c>
      <c r="F18" s="4">
        <v>9.1999999999999993</v>
      </c>
      <c r="G18" s="4">
        <v>6.06</v>
      </c>
      <c r="H18" s="4">
        <v>121.95</v>
      </c>
    </row>
    <row r="19" spans="2:8" x14ac:dyDescent="0.3">
      <c r="B19" t="s">
        <v>105</v>
      </c>
      <c r="D19" s="25">
        <v>-92.72</v>
      </c>
      <c r="E19" s="4">
        <v>-120.8</v>
      </c>
      <c r="F19" s="4">
        <v>-169.93</v>
      </c>
      <c r="G19" s="4">
        <v>-179.84</v>
      </c>
      <c r="H19" s="4">
        <v>-180.93</v>
      </c>
    </row>
    <row r="20" spans="2:8" x14ac:dyDescent="0.3">
      <c r="B20" t="s">
        <v>106</v>
      </c>
      <c r="D20" s="25">
        <v>-15.16</v>
      </c>
      <c r="E20" s="4">
        <v>-13.48</v>
      </c>
      <c r="F20" s="4">
        <v>-20.16</v>
      </c>
      <c r="G20" s="4">
        <v>-20.64</v>
      </c>
      <c r="H20" s="4">
        <v>-2.13</v>
      </c>
    </row>
    <row r="21" spans="2:8" x14ac:dyDescent="0.3">
      <c r="B21" t="s">
        <v>70</v>
      </c>
      <c r="D21" s="25">
        <v>-31.57</v>
      </c>
      <c r="E21" s="4">
        <v>-93.85</v>
      </c>
      <c r="F21" s="4">
        <v>-133</v>
      </c>
      <c r="G21" s="4">
        <v>-140.71</v>
      </c>
      <c r="H21" s="4">
        <v>-165.59</v>
      </c>
    </row>
    <row r="22" spans="2:8" x14ac:dyDescent="0.3">
      <c r="B22" t="s">
        <v>107</v>
      </c>
      <c r="D22" s="25">
        <v>13.47</v>
      </c>
      <c r="E22" s="4">
        <v>24.66</v>
      </c>
      <c r="F22" s="4">
        <v>0</v>
      </c>
      <c r="G22" s="4">
        <v>223.25</v>
      </c>
      <c r="H22" s="4">
        <v>93.87</v>
      </c>
    </row>
    <row r="23" spans="2:8" x14ac:dyDescent="0.3">
      <c r="B23" t="s">
        <v>108</v>
      </c>
      <c r="D23" s="25">
        <v>-76.09</v>
      </c>
      <c r="E23" s="4">
        <v>-120.61</v>
      </c>
      <c r="F23" s="4">
        <v>-229.63</v>
      </c>
      <c r="G23" s="4">
        <v>-182.43</v>
      </c>
      <c r="H23" s="4">
        <v>-286.5</v>
      </c>
    </row>
    <row r="24" spans="2:8" x14ac:dyDescent="0.3">
      <c r="B24" t="s">
        <v>109</v>
      </c>
      <c r="D24" s="25">
        <v>0</v>
      </c>
      <c r="E24" s="4">
        <v>28.85</v>
      </c>
      <c r="F24" s="4">
        <v>-63.68</v>
      </c>
      <c r="G24" s="4">
        <v>-18.29</v>
      </c>
      <c r="H24" s="4">
        <v>19.96</v>
      </c>
    </row>
    <row r="25" spans="2:8" x14ac:dyDescent="0.3">
      <c r="B25" t="s">
        <v>110</v>
      </c>
      <c r="D25" s="25">
        <v>10.94</v>
      </c>
      <c r="E25" s="4">
        <v>13.38</v>
      </c>
      <c r="F25" s="4">
        <v>21.84</v>
      </c>
      <c r="G25" s="4">
        <v>21.25</v>
      </c>
      <c r="H25" s="4">
        <v>29.35</v>
      </c>
    </row>
    <row r="26" spans="2:8" x14ac:dyDescent="0.3">
      <c r="B26" t="s">
        <v>111</v>
      </c>
      <c r="D26" s="25">
        <v>0</v>
      </c>
      <c r="E26" s="4">
        <v>0</v>
      </c>
      <c r="F26" s="4">
        <v>0</v>
      </c>
      <c r="G26" s="4">
        <v>83.71</v>
      </c>
      <c r="H26" s="4">
        <v>0</v>
      </c>
    </row>
    <row r="27" spans="2:8" x14ac:dyDescent="0.3">
      <c r="B27" t="s">
        <v>112</v>
      </c>
      <c r="D27" s="25">
        <v>53.73</v>
      </c>
      <c r="E27" s="4">
        <v>-27.58</v>
      </c>
      <c r="F27" s="4">
        <v>-10.9</v>
      </c>
      <c r="G27" s="4">
        <v>-1.78</v>
      </c>
      <c r="H27" s="4">
        <v>70.17</v>
      </c>
    </row>
    <row r="28" spans="2:8" x14ac:dyDescent="0.3">
      <c r="B28" t="s">
        <v>113</v>
      </c>
      <c r="D28" s="25">
        <v>-1.76</v>
      </c>
      <c r="E28" s="4">
        <v>-1.54</v>
      </c>
      <c r="F28" s="4">
        <v>-5.29</v>
      </c>
      <c r="G28" s="4">
        <v>-4.6900000000000004</v>
      </c>
      <c r="H28" s="4">
        <v>-4.08</v>
      </c>
    </row>
    <row r="29" spans="2:8" x14ac:dyDescent="0.3">
      <c r="B29" t="s">
        <v>114</v>
      </c>
      <c r="D29" s="25">
        <v>57.6</v>
      </c>
      <c r="E29" s="4">
        <v>21.94</v>
      </c>
      <c r="F29" s="4">
        <v>8</v>
      </c>
      <c r="G29" s="4">
        <v>-11.06</v>
      </c>
      <c r="H29" s="4">
        <v>2.94</v>
      </c>
    </row>
    <row r="30" spans="2:8" x14ac:dyDescent="0.3">
      <c r="B30" t="s">
        <v>115</v>
      </c>
      <c r="D30" s="25">
        <v>-71.61</v>
      </c>
      <c r="E30" s="4">
        <v>4.88</v>
      </c>
      <c r="F30" s="4">
        <v>41.11</v>
      </c>
      <c r="G30" s="4">
        <v>18.66</v>
      </c>
      <c r="H30" s="4">
        <v>56.93</v>
      </c>
    </row>
    <row r="31" spans="2:8" x14ac:dyDescent="0.3">
      <c r="B31" s="31" t="s">
        <v>209</v>
      </c>
      <c r="D31" s="104">
        <f>SUM(D12:D30)</f>
        <v>769.68000000000006</v>
      </c>
      <c r="E31" s="14">
        <f t="shared" ref="E31:H31" si="1">SUM(E12:E30)</f>
        <v>770.99000000000012</v>
      </c>
      <c r="F31" s="14">
        <f t="shared" si="1"/>
        <v>580.83000000000015</v>
      </c>
      <c r="G31" s="14">
        <f t="shared" si="1"/>
        <v>1286.5899999999999</v>
      </c>
      <c r="H31" s="14">
        <f t="shared" si="1"/>
        <v>1182.8400000000004</v>
      </c>
    </row>
    <row r="32" spans="2:8" x14ac:dyDescent="0.3">
      <c r="B32" s="31"/>
      <c r="D32" s="25"/>
      <c r="E32" s="4"/>
      <c r="F32" s="4"/>
      <c r="G32" s="4"/>
      <c r="H32" s="4"/>
    </row>
    <row r="33" spans="2:8" x14ac:dyDescent="0.3">
      <c r="B33" s="5" t="s">
        <v>116</v>
      </c>
      <c r="C33" s="6"/>
      <c r="D33" s="26">
        <f>SUM(D10:D30)</f>
        <v>4957.3999999999996</v>
      </c>
      <c r="E33" s="7">
        <f>SUM(E10:E30)</f>
        <v>6459.82</v>
      </c>
      <c r="F33" s="7">
        <f>SUM(F10:F30)</f>
        <v>7928.6000000000013</v>
      </c>
      <c r="G33" s="7">
        <f>SUM(G10:G30)</f>
        <v>6389.6600000000008</v>
      </c>
      <c r="H33" s="7">
        <f>SUM(H10:H30)</f>
        <v>7186.2799999999988</v>
      </c>
    </row>
    <row r="34" spans="2:8" x14ac:dyDescent="0.3">
      <c r="B34" s="1"/>
      <c r="D34" s="104"/>
      <c r="E34" s="14"/>
      <c r="F34" s="14"/>
      <c r="G34" s="14"/>
      <c r="H34" s="14"/>
    </row>
    <row r="35" spans="2:8" x14ac:dyDescent="0.3">
      <c r="B35" t="s">
        <v>97</v>
      </c>
      <c r="D35" s="27"/>
    </row>
    <row r="36" spans="2:8" x14ac:dyDescent="0.3">
      <c r="B36" t="s">
        <v>117</v>
      </c>
      <c r="D36" s="25">
        <v>-1326.48</v>
      </c>
      <c r="E36" s="4">
        <v>-833.94</v>
      </c>
      <c r="F36" s="4">
        <v>-361.89</v>
      </c>
      <c r="G36" s="4">
        <v>281.8</v>
      </c>
      <c r="H36" s="4">
        <v>-274.01</v>
      </c>
    </row>
    <row r="37" spans="2:8" x14ac:dyDescent="0.3">
      <c r="B37" t="s">
        <v>118</v>
      </c>
      <c r="D37" s="25">
        <v>-130.62</v>
      </c>
      <c r="E37" s="4">
        <v>156.75</v>
      </c>
      <c r="F37" s="4">
        <v>23.12</v>
      </c>
      <c r="G37" s="4">
        <v>6.71</v>
      </c>
      <c r="H37" s="4">
        <v>-65.31</v>
      </c>
    </row>
    <row r="38" spans="2:8" x14ac:dyDescent="0.3">
      <c r="B38" t="s">
        <v>119</v>
      </c>
      <c r="D38" s="25">
        <v>-2354.38</v>
      </c>
      <c r="E38" s="4">
        <v>-55.98</v>
      </c>
      <c r="F38" s="4">
        <v>314.94</v>
      </c>
      <c r="G38" s="4">
        <v>-805.34</v>
      </c>
      <c r="H38" s="4">
        <v>975.58</v>
      </c>
    </row>
    <row r="39" spans="2:8" x14ac:dyDescent="0.3">
      <c r="B39" t="s">
        <v>120</v>
      </c>
      <c r="D39" s="25">
        <v>-21.21</v>
      </c>
      <c r="E39" s="4">
        <v>-26.71</v>
      </c>
      <c r="F39" s="4">
        <v>-260.89</v>
      </c>
      <c r="G39" s="4">
        <v>1.71</v>
      </c>
      <c r="H39" s="4">
        <v>-86.1</v>
      </c>
    </row>
    <row r="40" spans="2:8" x14ac:dyDescent="0.3">
      <c r="B40" t="s">
        <v>121</v>
      </c>
      <c r="D40" s="25">
        <v>644.02</v>
      </c>
      <c r="E40" s="4">
        <v>-538.97</v>
      </c>
      <c r="F40" s="4">
        <v>268.58</v>
      </c>
      <c r="G40" s="4">
        <v>-160.41</v>
      </c>
      <c r="H40" s="4">
        <v>396.07</v>
      </c>
    </row>
    <row r="41" spans="2:8" x14ac:dyDescent="0.3">
      <c r="B41" t="s">
        <v>122</v>
      </c>
      <c r="D41" s="25">
        <v>237.19</v>
      </c>
      <c r="E41" s="4">
        <v>441.1</v>
      </c>
      <c r="F41" s="4">
        <v>16.399999999999999</v>
      </c>
      <c r="G41" s="4">
        <v>82.56</v>
      </c>
      <c r="H41" s="4">
        <v>386.79</v>
      </c>
    </row>
    <row r="42" spans="2:8" x14ac:dyDescent="0.3">
      <c r="B42" t="s">
        <v>123</v>
      </c>
      <c r="D42" s="25">
        <v>156.26</v>
      </c>
      <c r="E42" s="4">
        <v>85.64</v>
      </c>
      <c r="F42" s="4">
        <v>9.7899999999999991</v>
      </c>
      <c r="G42" s="4">
        <v>22.79</v>
      </c>
      <c r="H42" s="4">
        <v>142.69999999999999</v>
      </c>
    </row>
    <row r="43" spans="2:8" x14ac:dyDescent="0.3">
      <c r="D43" s="25"/>
      <c r="E43" s="4"/>
      <c r="F43" s="4"/>
      <c r="G43" s="4"/>
      <c r="H43" s="4"/>
    </row>
    <row r="44" spans="2:8" x14ac:dyDescent="0.3">
      <c r="B44" s="1" t="s">
        <v>124</v>
      </c>
      <c r="D44" s="104">
        <f>SUM(D33:D42)</f>
        <v>2162.1799999999994</v>
      </c>
      <c r="E44" s="14">
        <f>SUM(E33:E42)</f>
        <v>5687.71</v>
      </c>
      <c r="F44" s="14">
        <f>SUM(F33:F42)</f>
        <v>7938.65</v>
      </c>
      <c r="G44" s="14">
        <f>SUM(G33:G42)</f>
        <v>5819.4800000000014</v>
      </c>
      <c r="H44" s="14">
        <f>SUM(H33:H42)</f>
        <v>8661.9999999999982</v>
      </c>
    </row>
    <row r="45" spans="2:8" x14ac:dyDescent="0.3">
      <c r="B45" t="s">
        <v>125</v>
      </c>
      <c r="D45" s="25">
        <v>-1175.69</v>
      </c>
      <c r="E45" s="4">
        <v>-1494.28</v>
      </c>
      <c r="F45" s="4">
        <v>-1835.05</v>
      </c>
      <c r="G45" s="4">
        <v>-1395.52</v>
      </c>
      <c r="H45" s="4">
        <v>-1573.82</v>
      </c>
    </row>
    <row r="46" spans="2:8" x14ac:dyDescent="0.3">
      <c r="B46" s="10" t="s">
        <v>126</v>
      </c>
      <c r="C46" s="10"/>
      <c r="D46" s="105">
        <f>SUM(D44:D45)</f>
        <v>986.48999999999933</v>
      </c>
      <c r="E46" s="11">
        <f>SUM(E44:E45)</f>
        <v>4193.43</v>
      </c>
      <c r="F46" s="11">
        <f>SUM(F44:F45)</f>
        <v>6103.5999999999995</v>
      </c>
      <c r="G46" s="11">
        <f>SUM(G44:G45)</f>
        <v>4423.9600000000009</v>
      </c>
      <c r="H46" s="11">
        <f>SUM(H44:H45)</f>
        <v>7088.1799999999985</v>
      </c>
    </row>
    <row r="47" spans="2:8" x14ac:dyDescent="0.3">
      <c r="D47" s="27"/>
    </row>
    <row r="48" spans="2:8" x14ac:dyDescent="0.3">
      <c r="B48" s="1" t="s">
        <v>127</v>
      </c>
      <c r="D48" s="27"/>
    </row>
    <row r="49" spans="2:8" x14ac:dyDescent="0.3">
      <c r="B49" t="s">
        <v>128</v>
      </c>
      <c r="D49" s="25">
        <v>-538.24</v>
      </c>
      <c r="E49" s="4">
        <v>-1273.3699999999999</v>
      </c>
      <c r="F49" s="4">
        <v>-2199.0100000000002</v>
      </c>
      <c r="G49" s="4">
        <v>-1805.32</v>
      </c>
      <c r="H49" s="4">
        <v>-1467.02</v>
      </c>
    </row>
    <row r="50" spans="2:8" x14ac:dyDescent="0.3">
      <c r="B50" t="s">
        <v>129</v>
      </c>
      <c r="D50" s="25">
        <v>39.58</v>
      </c>
      <c r="E50" s="4">
        <v>25.92</v>
      </c>
      <c r="F50" s="4">
        <v>5.13</v>
      </c>
      <c r="G50" s="4">
        <v>10.1</v>
      </c>
      <c r="H50" s="4">
        <v>3.2</v>
      </c>
    </row>
    <row r="51" spans="2:8" x14ac:dyDescent="0.3">
      <c r="B51" t="s">
        <v>130</v>
      </c>
      <c r="D51" s="25">
        <v>-12.46</v>
      </c>
      <c r="E51" s="4">
        <v>-172.24</v>
      </c>
      <c r="F51" s="4">
        <v>-297.07</v>
      </c>
      <c r="G51" s="4">
        <v>-24.75</v>
      </c>
      <c r="H51" s="4">
        <v>-20.3</v>
      </c>
    </row>
    <row r="52" spans="2:8" x14ac:dyDescent="0.3">
      <c r="B52" t="s">
        <v>131</v>
      </c>
      <c r="D52" s="4">
        <v>0</v>
      </c>
      <c r="E52" s="4">
        <v>-146.07</v>
      </c>
      <c r="F52" s="4">
        <v>-212.24</v>
      </c>
      <c r="G52" s="4">
        <v>-0.92</v>
      </c>
      <c r="H52" s="4">
        <v>-0.1</v>
      </c>
    </row>
    <row r="53" spans="2:8" x14ac:dyDescent="0.3">
      <c r="B53" t="s">
        <v>132</v>
      </c>
      <c r="D53" s="4">
        <v>146.46</v>
      </c>
      <c r="E53" s="4">
        <v>376.61</v>
      </c>
      <c r="F53" s="4">
        <v>0.5</v>
      </c>
      <c r="G53" s="4">
        <v>0</v>
      </c>
      <c r="H53" s="4">
        <v>923.36</v>
      </c>
    </row>
    <row r="54" spans="2:8" x14ac:dyDescent="0.3">
      <c r="B54" t="s">
        <v>133</v>
      </c>
      <c r="D54" s="4">
        <v>61.03</v>
      </c>
      <c r="E54" s="4">
        <v>69.430000000000007</v>
      </c>
      <c r="F54" s="4">
        <v>239.99</v>
      </c>
      <c r="G54" s="4">
        <v>420.65</v>
      </c>
      <c r="H54" s="4">
        <v>274.02999999999997</v>
      </c>
    </row>
    <row r="55" spans="2:8" x14ac:dyDescent="0.3">
      <c r="B55" t="s">
        <v>134</v>
      </c>
      <c r="D55" s="4">
        <v>-110.21</v>
      </c>
      <c r="E55" s="4">
        <v>-118.71</v>
      </c>
      <c r="F55" s="4">
        <v>-206.25</v>
      </c>
      <c r="G55" s="4">
        <v>196.8</v>
      </c>
      <c r="H55" s="4">
        <v>-1316.03</v>
      </c>
    </row>
    <row r="56" spans="2:8" x14ac:dyDescent="0.3">
      <c r="B56" t="s">
        <v>135</v>
      </c>
      <c r="D56" s="4">
        <v>0</v>
      </c>
      <c r="E56" s="4">
        <v>-179.62</v>
      </c>
      <c r="F56" s="4">
        <v>0</v>
      </c>
      <c r="G56" s="4">
        <v>38.29</v>
      </c>
      <c r="H56" s="4">
        <v>0</v>
      </c>
    </row>
    <row r="57" spans="2:8" x14ac:dyDescent="0.3">
      <c r="B57" t="s">
        <v>136</v>
      </c>
      <c r="D57" s="4">
        <v>0</v>
      </c>
      <c r="E57" s="4">
        <v>0</v>
      </c>
      <c r="F57" s="4">
        <v>-75</v>
      </c>
      <c r="G57" s="4">
        <v>0</v>
      </c>
      <c r="H57" s="4">
        <v>-2.0299999999999998</v>
      </c>
    </row>
    <row r="58" spans="2:8" x14ac:dyDescent="0.3">
      <c r="B58" t="s">
        <v>137</v>
      </c>
      <c r="D58" s="4">
        <v>0</v>
      </c>
      <c r="E58" s="4">
        <v>0</v>
      </c>
      <c r="F58" s="4">
        <v>-37.71</v>
      </c>
      <c r="G58" s="4">
        <v>0</v>
      </c>
      <c r="H58" s="4">
        <v>0</v>
      </c>
    </row>
    <row r="59" spans="2:8" x14ac:dyDescent="0.3">
      <c r="B59" t="s">
        <v>138</v>
      </c>
      <c r="D59" s="4">
        <v>76.989999999999995</v>
      </c>
      <c r="E59" s="4">
        <v>87.15</v>
      </c>
      <c r="F59" s="4">
        <v>135.49</v>
      </c>
      <c r="G59" s="4">
        <v>154.88999999999999</v>
      </c>
      <c r="H59" s="4">
        <v>153.19</v>
      </c>
    </row>
    <row r="60" spans="2:8" x14ac:dyDescent="0.3">
      <c r="B60" t="s">
        <v>139</v>
      </c>
      <c r="D60" s="4">
        <v>0</v>
      </c>
      <c r="E60" s="4">
        <v>42.78</v>
      </c>
      <c r="F60" s="4">
        <v>108.37</v>
      </c>
      <c r="G60" s="4">
        <v>115.5</v>
      </c>
      <c r="H60" s="4">
        <v>115.5</v>
      </c>
    </row>
    <row r="61" spans="2:8" x14ac:dyDescent="0.3">
      <c r="B61" t="s">
        <v>140</v>
      </c>
      <c r="D61" s="4">
        <v>15.16</v>
      </c>
      <c r="E61" s="4">
        <v>13.48</v>
      </c>
      <c r="F61" s="4">
        <v>20.170000000000002</v>
      </c>
      <c r="G61" s="4">
        <v>20.64</v>
      </c>
      <c r="H61" s="4">
        <v>2.13</v>
      </c>
    </row>
    <row r="62" spans="2:8" x14ac:dyDescent="0.3">
      <c r="D62" s="4"/>
      <c r="E62" s="4"/>
      <c r="F62" s="4"/>
      <c r="G62" s="4"/>
      <c r="H62" s="4"/>
    </row>
    <row r="63" spans="2:8" x14ac:dyDescent="0.3">
      <c r="B63" s="10" t="s">
        <v>141</v>
      </c>
      <c r="C63" s="10"/>
      <c r="D63" s="11">
        <f>SUM(D49:D61)</f>
        <v>-321.68999999999994</v>
      </c>
      <c r="E63" s="11">
        <f>SUM(E49:E61)</f>
        <v>-1274.6399999999996</v>
      </c>
      <c r="F63" s="11">
        <f>SUM(F49:F61)</f>
        <v>-2517.630000000001</v>
      </c>
      <c r="G63" s="11">
        <f>SUM(G49:G61)</f>
        <v>-874.12000000000035</v>
      </c>
      <c r="H63" s="11">
        <f>SUM(H49:H61)</f>
        <v>-1334.0699999999995</v>
      </c>
    </row>
    <row r="65" spans="2:8" x14ac:dyDescent="0.3">
      <c r="B65" s="1" t="s">
        <v>142</v>
      </c>
    </row>
    <row r="66" spans="2:8" x14ac:dyDescent="0.3">
      <c r="B66" t="s">
        <v>143</v>
      </c>
      <c r="D66" s="4">
        <v>39.869999999999997</v>
      </c>
      <c r="E66" s="4">
        <v>94</v>
      </c>
      <c r="F66" s="4">
        <v>5.91</v>
      </c>
      <c r="G66" s="4">
        <v>219.84</v>
      </c>
      <c r="H66" s="4">
        <v>993.41</v>
      </c>
    </row>
    <row r="67" spans="2:8" x14ac:dyDescent="0.3">
      <c r="B67" t="s">
        <v>144</v>
      </c>
      <c r="D67" s="4">
        <v>-7.89</v>
      </c>
      <c r="E67" s="4">
        <v>-15.55</v>
      </c>
      <c r="F67" s="4">
        <v>-14.17</v>
      </c>
      <c r="G67" s="4">
        <v>-21.16</v>
      </c>
      <c r="H67" s="4">
        <v>-32.43</v>
      </c>
    </row>
    <row r="68" spans="2:8" x14ac:dyDescent="0.3">
      <c r="B68" t="s">
        <v>145</v>
      </c>
      <c r="D68" s="4">
        <v>292.68</v>
      </c>
      <c r="E68" s="4">
        <v>159.76</v>
      </c>
      <c r="F68" s="4">
        <v>94.98</v>
      </c>
      <c r="G68" s="4">
        <v>-406.41</v>
      </c>
      <c r="H68" s="4">
        <v>285.44</v>
      </c>
    </row>
    <row r="69" spans="2:8" x14ac:dyDescent="0.3">
      <c r="B69" t="s">
        <v>146</v>
      </c>
      <c r="D69" s="4">
        <v>85.35</v>
      </c>
      <c r="E69" s="4">
        <v>-8.9700000000000006</v>
      </c>
      <c r="F69" s="4">
        <v>-83.65</v>
      </c>
      <c r="G69" s="4">
        <v>194.74</v>
      </c>
      <c r="H69" s="4">
        <v>-419.89</v>
      </c>
    </row>
    <row r="70" spans="2:8" x14ac:dyDescent="0.3">
      <c r="B70" t="s">
        <v>147</v>
      </c>
      <c r="D70" s="4">
        <v>0</v>
      </c>
      <c r="E70" s="4">
        <v>0</v>
      </c>
      <c r="F70" s="4">
        <v>40.6</v>
      </c>
      <c r="G70" s="4">
        <v>0</v>
      </c>
      <c r="H70" s="4">
        <v>9.3699999999999992</v>
      </c>
    </row>
    <row r="71" spans="2:8" x14ac:dyDescent="0.3">
      <c r="B71" t="s">
        <v>148</v>
      </c>
      <c r="D71" s="4">
        <v>-221.4</v>
      </c>
      <c r="E71" s="4">
        <v>-255.72</v>
      </c>
      <c r="F71" s="4">
        <v>-285.63</v>
      </c>
      <c r="G71" s="4">
        <v>-324.62</v>
      </c>
      <c r="H71" s="4">
        <v>-188</v>
      </c>
    </row>
    <row r="72" spans="2:8" x14ac:dyDescent="0.3">
      <c r="B72" t="s">
        <v>149</v>
      </c>
      <c r="D72" s="4">
        <v>-64.91</v>
      </c>
      <c r="E72" s="4">
        <v>0</v>
      </c>
      <c r="F72" s="4">
        <v>0</v>
      </c>
      <c r="G72" s="4">
        <v>-34.65</v>
      </c>
      <c r="H72" s="4">
        <v>-339.78</v>
      </c>
    </row>
    <row r="73" spans="2:8" x14ac:dyDescent="0.3">
      <c r="B73" t="s">
        <v>150</v>
      </c>
      <c r="D73" s="4">
        <v>-93.56</v>
      </c>
      <c r="E73" s="4">
        <v>-141.94999999999999</v>
      </c>
      <c r="F73" s="4">
        <v>-190.57</v>
      </c>
      <c r="G73" s="4">
        <v>-203.19</v>
      </c>
      <c r="H73" s="4">
        <v>-228.33</v>
      </c>
    </row>
    <row r="74" spans="2:8" x14ac:dyDescent="0.3">
      <c r="B74" t="s">
        <v>151</v>
      </c>
      <c r="D74" s="4">
        <v>-74.95</v>
      </c>
      <c r="E74" s="4">
        <v>-35.57</v>
      </c>
      <c r="F74" s="4">
        <v>0.91</v>
      </c>
      <c r="G74" s="4">
        <v>-36.92</v>
      </c>
      <c r="H74" s="4">
        <v>-30.92</v>
      </c>
    </row>
    <row r="75" spans="2:8" x14ac:dyDescent="0.3">
      <c r="B75" t="s">
        <v>152</v>
      </c>
      <c r="D75" s="4">
        <v>-1762.8</v>
      </c>
      <c r="E75" s="4">
        <v>-1936.05</v>
      </c>
      <c r="F75" s="4">
        <v>-2550.88</v>
      </c>
      <c r="G75" s="4">
        <v>-3140.21</v>
      </c>
      <c r="H75" s="4">
        <v>-2425.38</v>
      </c>
    </row>
    <row r="76" spans="2:8" x14ac:dyDescent="0.3">
      <c r="D76" s="4"/>
      <c r="E76" s="4"/>
      <c r="F76" s="4"/>
      <c r="G76" s="4"/>
      <c r="H76" s="4"/>
    </row>
    <row r="77" spans="2:8" x14ac:dyDescent="0.3">
      <c r="B77" s="10" t="s">
        <v>153</v>
      </c>
      <c r="C77" s="13"/>
      <c r="D77" s="11">
        <f>SUM(D66:D75)</f>
        <v>-1807.61</v>
      </c>
      <c r="E77" s="11">
        <f>SUM(E66:E75)</f>
        <v>-2140.0500000000002</v>
      </c>
      <c r="F77" s="11">
        <f>SUM(F66:F75)</f>
        <v>-2982.5</v>
      </c>
      <c r="G77" s="11">
        <f>SUM(G66:G75)</f>
        <v>-3752.58</v>
      </c>
      <c r="H77" s="11">
        <f>SUM(H66:H75)</f>
        <v>-2376.5100000000002</v>
      </c>
    </row>
    <row r="79" spans="2:8" x14ac:dyDescent="0.3">
      <c r="B79" s="1" t="s">
        <v>154</v>
      </c>
      <c r="D79" s="14">
        <f>D46+D63+D77</f>
        <v>-1142.8100000000004</v>
      </c>
      <c r="E79" s="14">
        <f>E46+E63+E77</f>
        <v>778.74000000000069</v>
      </c>
      <c r="F79" s="14">
        <f>F46+F63+F77</f>
        <v>603.46999999999844</v>
      </c>
      <c r="G79" s="14">
        <f>G46+G63+G77</f>
        <v>-202.73999999999933</v>
      </c>
      <c r="H79" s="14">
        <f>H46+H63+H77</f>
        <v>3377.5999999999985</v>
      </c>
    </row>
    <row r="80" spans="2:8" x14ac:dyDescent="0.3">
      <c r="B80" t="s">
        <v>155</v>
      </c>
      <c r="D80" s="4">
        <v>3421.16</v>
      </c>
      <c r="E80" s="4">
        <v>2283.29</v>
      </c>
      <c r="F80" s="4">
        <v>3054.33</v>
      </c>
      <c r="G80" s="4">
        <v>3626.95</v>
      </c>
      <c r="H80" s="4">
        <v>3357.42</v>
      </c>
    </row>
    <row r="81" spans="2:8" x14ac:dyDescent="0.3">
      <c r="B81" t="s">
        <v>156</v>
      </c>
      <c r="D81" s="4">
        <v>4.9400000000000004</v>
      </c>
      <c r="E81" s="4">
        <v>-7.7</v>
      </c>
      <c r="F81" s="4">
        <v>-30.85</v>
      </c>
      <c r="G81" s="4">
        <v>-66.790000000000006</v>
      </c>
      <c r="H81" s="4">
        <v>5.84</v>
      </c>
    </row>
    <row r="82" spans="2:8" x14ac:dyDescent="0.3">
      <c r="D82" s="4"/>
      <c r="E82" s="4"/>
      <c r="F82" s="4"/>
      <c r="G82" s="4"/>
      <c r="H82" s="4"/>
    </row>
    <row r="83" spans="2:8" x14ac:dyDescent="0.3">
      <c r="B83" s="10" t="s">
        <v>157</v>
      </c>
      <c r="C83" s="10"/>
      <c r="D83" s="11">
        <f>SUM(D79:D81)</f>
        <v>2283.2899999999995</v>
      </c>
      <c r="E83" s="11">
        <f>SUM(E79:E81)</f>
        <v>3054.3300000000008</v>
      </c>
      <c r="F83" s="11">
        <f>SUM(F79:F81)</f>
        <v>3626.9499999999985</v>
      </c>
      <c r="G83" s="11">
        <f>SUM(G79:G81)</f>
        <v>3357.4200000000005</v>
      </c>
      <c r="H83" s="11">
        <f>SUM(H79:H81)</f>
        <v>6740.8599999999988</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5C6BC-02DC-404A-B30F-F4B9D8443443}">
  <dimension ref="B2:J2495"/>
  <sheetViews>
    <sheetView showGridLines="0" workbookViewId="0">
      <selection activeCell="J15" sqref="J15"/>
    </sheetView>
  </sheetViews>
  <sheetFormatPr defaultRowHeight="14.4" x14ac:dyDescent="0.3"/>
  <cols>
    <col min="1" max="1" width="3.44140625" customWidth="1"/>
    <col min="2" max="2" width="22" customWidth="1"/>
    <col min="5" max="5" width="13.33203125" bestFit="1" customWidth="1"/>
    <col min="9" max="9" width="9.88671875" bestFit="1" customWidth="1"/>
  </cols>
  <sheetData>
    <row r="2" spans="2:9" ht="28.8" x14ac:dyDescent="0.55000000000000004">
      <c r="B2" s="16" t="s">
        <v>160</v>
      </c>
      <c r="C2" s="3"/>
      <c r="D2" s="3"/>
      <c r="E2" s="3"/>
      <c r="F2" s="3"/>
      <c r="I2" s="77"/>
    </row>
    <row r="3" spans="2:9" x14ac:dyDescent="0.3">
      <c r="B3" s="17" t="s">
        <v>161</v>
      </c>
      <c r="C3" s="3"/>
      <c r="D3" s="3"/>
      <c r="E3" s="33"/>
      <c r="F3" s="33"/>
      <c r="I3" s="77"/>
    </row>
    <row r="4" spans="2:9" x14ac:dyDescent="0.3">
      <c r="B4" s="2" t="s">
        <v>159</v>
      </c>
      <c r="C4" s="3"/>
      <c r="D4" s="3"/>
      <c r="E4" s="18"/>
      <c r="F4" s="18"/>
      <c r="I4" s="77"/>
    </row>
    <row r="5" spans="2:9" x14ac:dyDescent="0.3">
      <c r="I5" s="77"/>
    </row>
    <row r="6" spans="2:9" x14ac:dyDescent="0.3">
      <c r="B6" s="2"/>
      <c r="C6" s="2" t="s">
        <v>333</v>
      </c>
      <c r="E6" s="1" t="s">
        <v>334</v>
      </c>
      <c r="I6" s="77"/>
    </row>
    <row r="7" spans="2:9" x14ac:dyDescent="0.3">
      <c r="B7" s="2" t="s">
        <v>335</v>
      </c>
      <c r="C7" s="2" t="s">
        <v>336</v>
      </c>
      <c r="I7" s="77"/>
    </row>
    <row r="8" spans="2:9" x14ac:dyDescent="0.3">
      <c r="E8" s="1" t="s">
        <v>337</v>
      </c>
      <c r="F8" s="113">
        <f>YEARFRAC(B9,B2495)</f>
        <v>10.036111111111111</v>
      </c>
      <c r="I8" s="77"/>
    </row>
    <row r="9" spans="2:9" x14ac:dyDescent="0.3">
      <c r="B9" s="77">
        <v>46255</v>
      </c>
      <c r="C9">
        <v>24252</v>
      </c>
      <c r="E9" s="1"/>
      <c r="F9" s="161"/>
      <c r="I9" s="77"/>
    </row>
    <row r="10" spans="2:9" x14ac:dyDescent="0.3">
      <c r="B10" s="77">
        <v>46254</v>
      </c>
      <c r="C10">
        <v>24231.85</v>
      </c>
      <c r="E10" s="1" t="s">
        <v>338</v>
      </c>
      <c r="F10" s="78">
        <f>_xlfn.RRI(F8,C2495,C9)</f>
        <v>0.10740432415258705</v>
      </c>
      <c r="I10" s="77"/>
    </row>
    <row r="11" spans="2:9" x14ac:dyDescent="0.3">
      <c r="B11" s="77">
        <v>46253</v>
      </c>
      <c r="C11">
        <v>24078.3</v>
      </c>
      <c r="E11" s="1"/>
      <c r="F11" s="161"/>
      <c r="I11" s="77"/>
    </row>
    <row r="12" spans="2:9" x14ac:dyDescent="0.3">
      <c r="B12" s="77">
        <v>46252</v>
      </c>
      <c r="C12">
        <v>24154.9</v>
      </c>
      <c r="E12" s="1"/>
      <c r="F12" s="161"/>
      <c r="I12" s="77"/>
    </row>
    <row r="13" spans="2:9" x14ac:dyDescent="0.3">
      <c r="B13" s="77">
        <v>46251</v>
      </c>
      <c r="C13">
        <v>24287.65</v>
      </c>
      <c r="E13" s="1"/>
      <c r="F13" s="161"/>
      <c r="I13" s="77"/>
    </row>
    <row r="14" spans="2:9" x14ac:dyDescent="0.3">
      <c r="B14" s="77">
        <v>46248</v>
      </c>
      <c r="C14">
        <v>24366</v>
      </c>
      <c r="E14" s="1"/>
      <c r="F14" s="161"/>
      <c r="I14" s="77"/>
    </row>
    <row r="15" spans="2:9" x14ac:dyDescent="0.3">
      <c r="B15" s="77">
        <v>46247</v>
      </c>
      <c r="C15">
        <v>24395.85</v>
      </c>
      <c r="E15" s="1"/>
      <c r="F15" s="161"/>
      <c r="I15" s="77"/>
    </row>
    <row r="16" spans="2:9" x14ac:dyDescent="0.3">
      <c r="B16" s="77">
        <v>46246</v>
      </c>
      <c r="C16">
        <v>24435.95</v>
      </c>
      <c r="E16" s="1"/>
      <c r="F16" s="161"/>
      <c r="I16" s="77"/>
    </row>
    <row r="17" spans="2:9" x14ac:dyDescent="0.3">
      <c r="B17" s="77">
        <v>46245</v>
      </c>
      <c r="C17">
        <v>24471.7</v>
      </c>
      <c r="E17" s="1"/>
      <c r="F17" s="161"/>
      <c r="I17" s="77"/>
    </row>
    <row r="18" spans="2:9" x14ac:dyDescent="0.3">
      <c r="B18" s="77">
        <v>46244</v>
      </c>
      <c r="C18">
        <v>24583.8</v>
      </c>
      <c r="E18" s="1"/>
      <c r="F18" s="161"/>
      <c r="I18" s="77"/>
    </row>
    <row r="19" spans="2:9" x14ac:dyDescent="0.3">
      <c r="B19" s="77">
        <v>46241</v>
      </c>
      <c r="C19">
        <v>24570.65</v>
      </c>
      <c r="I19" s="77"/>
    </row>
    <row r="20" spans="2:9" x14ac:dyDescent="0.3">
      <c r="B20" s="77">
        <v>46240</v>
      </c>
      <c r="C20">
        <v>24636</v>
      </c>
      <c r="I20" s="77"/>
    </row>
    <row r="21" spans="2:9" x14ac:dyDescent="0.3">
      <c r="B21" s="77">
        <v>46239</v>
      </c>
      <c r="C21">
        <v>24624.65</v>
      </c>
      <c r="I21" s="77"/>
    </row>
    <row r="22" spans="2:9" x14ac:dyDescent="0.3">
      <c r="B22" s="77">
        <v>46238</v>
      </c>
      <c r="C22">
        <v>24614.9</v>
      </c>
      <c r="I22" s="77"/>
    </row>
    <row r="23" spans="2:9" x14ac:dyDescent="0.3">
      <c r="B23" s="77">
        <v>46237</v>
      </c>
      <c r="C23">
        <v>24774.3</v>
      </c>
      <c r="I23" s="77"/>
    </row>
    <row r="24" spans="2:9" x14ac:dyDescent="0.3">
      <c r="B24" s="77">
        <v>46234</v>
      </c>
      <c r="C24">
        <v>24383.599999999999</v>
      </c>
      <c r="I24" s="77"/>
    </row>
    <row r="25" spans="2:9" x14ac:dyDescent="0.3">
      <c r="B25" s="77">
        <v>46233</v>
      </c>
      <c r="C25">
        <v>24317.15</v>
      </c>
      <c r="I25" s="77"/>
    </row>
    <row r="26" spans="2:9" x14ac:dyDescent="0.3">
      <c r="B26" s="77">
        <v>46232</v>
      </c>
      <c r="C26">
        <v>24250.2</v>
      </c>
      <c r="I26" s="77"/>
    </row>
    <row r="27" spans="2:9" x14ac:dyDescent="0.3">
      <c r="B27" s="77">
        <v>46231</v>
      </c>
      <c r="C27">
        <v>23985.35</v>
      </c>
      <c r="I27" s="77"/>
    </row>
    <row r="28" spans="2:9" x14ac:dyDescent="0.3">
      <c r="B28" s="77">
        <v>46230</v>
      </c>
      <c r="C28">
        <v>23995.95</v>
      </c>
      <c r="I28" s="77"/>
    </row>
    <row r="29" spans="2:9" x14ac:dyDescent="0.3">
      <c r="B29" s="77">
        <v>46227</v>
      </c>
      <c r="C29">
        <v>23767.45</v>
      </c>
      <c r="I29" s="77"/>
    </row>
    <row r="30" spans="2:9" x14ac:dyDescent="0.3">
      <c r="B30" s="77">
        <v>46226</v>
      </c>
      <c r="C30">
        <v>23869.599999999999</v>
      </c>
      <c r="I30" s="77"/>
    </row>
    <row r="31" spans="2:9" x14ac:dyDescent="0.3">
      <c r="B31" s="77">
        <v>46225</v>
      </c>
      <c r="C31">
        <v>23996.25</v>
      </c>
      <c r="I31" s="77"/>
    </row>
    <row r="32" spans="2:9" x14ac:dyDescent="0.3">
      <c r="B32" s="77">
        <v>46224</v>
      </c>
      <c r="C32">
        <v>24187.7</v>
      </c>
      <c r="I32" s="77"/>
    </row>
    <row r="33" spans="2:9" x14ac:dyDescent="0.3">
      <c r="B33" s="77">
        <v>46223</v>
      </c>
      <c r="C33">
        <v>24238.5</v>
      </c>
      <c r="I33" s="77"/>
    </row>
    <row r="34" spans="2:9" x14ac:dyDescent="0.3">
      <c r="B34" s="77">
        <v>46220</v>
      </c>
      <c r="C34">
        <v>24334.3</v>
      </c>
      <c r="I34" s="77"/>
    </row>
    <row r="35" spans="2:9" x14ac:dyDescent="0.3">
      <c r="B35" s="77">
        <v>46219</v>
      </c>
      <c r="C35">
        <v>24072.75</v>
      </c>
      <c r="I35" s="77"/>
    </row>
    <row r="36" spans="2:9" x14ac:dyDescent="0.3">
      <c r="B36" s="77">
        <v>46218</v>
      </c>
      <c r="C36">
        <v>24078.5</v>
      </c>
      <c r="I36" s="77"/>
    </row>
    <row r="37" spans="2:9" x14ac:dyDescent="0.3">
      <c r="B37" s="77">
        <v>46217</v>
      </c>
      <c r="C37">
        <v>24052.05</v>
      </c>
      <c r="I37" s="77"/>
    </row>
    <row r="38" spans="2:9" x14ac:dyDescent="0.3">
      <c r="B38" s="77">
        <v>46216</v>
      </c>
      <c r="C38">
        <v>24211</v>
      </c>
      <c r="I38" s="77"/>
    </row>
    <row r="39" spans="2:9" x14ac:dyDescent="0.3">
      <c r="B39" s="77">
        <v>46213</v>
      </c>
      <c r="C39">
        <v>24206.9</v>
      </c>
      <c r="I39" s="77"/>
    </row>
    <row r="40" spans="2:9" x14ac:dyDescent="0.3">
      <c r="B40" s="77">
        <v>46212</v>
      </c>
      <c r="C40">
        <v>23962.799999999999</v>
      </c>
      <c r="I40" s="77"/>
    </row>
    <row r="41" spans="2:9" x14ac:dyDescent="0.3">
      <c r="B41" s="77">
        <v>46211</v>
      </c>
      <c r="C41">
        <v>23882.05</v>
      </c>
      <c r="I41" s="77"/>
    </row>
    <row r="42" spans="2:9" x14ac:dyDescent="0.3">
      <c r="B42" s="77">
        <v>46210</v>
      </c>
      <c r="C42">
        <v>24398.7</v>
      </c>
      <c r="I42" s="77"/>
    </row>
    <row r="43" spans="2:9" x14ac:dyDescent="0.3">
      <c r="B43" s="77">
        <v>46209</v>
      </c>
      <c r="C43">
        <v>24430.35</v>
      </c>
      <c r="I43" s="77"/>
    </row>
    <row r="44" spans="2:9" x14ac:dyDescent="0.3">
      <c r="B44" s="77">
        <v>46206</v>
      </c>
      <c r="C44">
        <v>24270.85</v>
      </c>
      <c r="I44" s="77"/>
    </row>
    <row r="45" spans="2:9" x14ac:dyDescent="0.3">
      <c r="B45" s="77">
        <v>46205</v>
      </c>
      <c r="C45">
        <v>24175.7</v>
      </c>
      <c r="I45" s="77"/>
    </row>
    <row r="46" spans="2:9" x14ac:dyDescent="0.3">
      <c r="B46" s="77">
        <v>46204</v>
      </c>
      <c r="C46">
        <v>24005.85</v>
      </c>
      <c r="I46" s="77"/>
    </row>
    <row r="47" spans="2:9" x14ac:dyDescent="0.3">
      <c r="B47" s="77">
        <v>46203</v>
      </c>
      <c r="C47">
        <v>23865.75</v>
      </c>
      <c r="I47" s="77"/>
    </row>
    <row r="48" spans="2:9" x14ac:dyDescent="0.3">
      <c r="B48" s="77">
        <v>46202</v>
      </c>
      <c r="C48">
        <v>23946.25</v>
      </c>
      <c r="I48" s="77"/>
    </row>
    <row r="49" spans="2:9" x14ac:dyDescent="0.3">
      <c r="B49" s="77">
        <v>46198</v>
      </c>
      <c r="C49">
        <v>24056</v>
      </c>
      <c r="I49" s="77"/>
    </row>
    <row r="50" spans="2:9" x14ac:dyDescent="0.3">
      <c r="B50" s="77">
        <v>46197</v>
      </c>
      <c r="C50">
        <v>24021.65</v>
      </c>
      <c r="I50" s="77"/>
    </row>
    <row r="51" spans="2:9" x14ac:dyDescent="0.3">
      <c r="B51" s="77">
        <v>46196</v>
      </c>
      <c r="C51">
        <v>23824.1</v>
      </c>
      <c r="I51" s="77"/>
    </row>
    <row r="52" spans="2:9" x14ac:dyDescent="0.3">
      <c r="B52" s="77">
        <v>46195</v>
      </c>
      <c r="C52">
        <v>24102.9</v>
      </c>
      <c r="I52" s="77"/>
    </row>
    <row r="53" spans="2:9" x14ac:dyDescent="0.3">
      <c r="B53" s="77">
        <v>46192</v>
      </c>
      <c r="C53">
        <v>24013.1</v>
      </c>
      <c r="I53" s="77"/>
    </row>
    <row r="54" spans="2:9" x14ac:dyDescent="0.3">
      <c r="B54" s="77">
        <v>46191</v>
      </c>
      <c r="C54">
        <v>24168</v>
      </c>
      <c r="I54" s="77"/>
    </row>
    <row r="55" spans="2:9" x14ac:dyDescent="0.3">
      <c r="B55" s="77">
        <v>46190</v>
      </c>
      <c r="C55">
        <v>24085.7</v>
      </c>
      <c r="I55" s="77"/>
    </row>
    <row r="56" spans="2:9" x14ac:dyDescent="0.3">
      <c r="B56" s="77">
        <v>46189</v>
      </c>
      <c r="C56">
        <v>23989.15</v>
      </c>
      <c r="I56" s="77"/>
    </row>
    <row r="57" spans="2:9" x14ac:dyDescent="0.3">
      <c r="B57" s="77">
        <v>46188</v>
      </c>
      <c r="C57">
        <v>23853.9</v>
      </c>
      <c r="I57" s="77"/>
    </row>
    <row r="58" spans="2:9" x14ac:dyDescent="0.3">
      <c r="B58" s="77">
        <v>46185</v>
      </c>
      <c r="C58">
        <v>23622.9</v>
      </c>
      <c r="I58" s="77"/>
    </row>
    <row r="59" spans="2:9" x14ac:dyDescent="0.3">
      <c r="B59" s="77">
        <v>46184</v>
      </c>
      <c r="C59">
        <v>23161.599999999999</v>
      </c>
      <c r="I59" s="77"/>
    </row>
    <row r="60" spans="2:9" x14ac:dyDescent="0.3">
      <c r="B60" s="77">
        <v>46183</v>
      </c>
      <c r="C60">
        <v>23214.95</v>
      </c>
      <c r="I60" s="77"/>
    </row>
    <row r="61" spans="2:9" x14ac:dyDescent="0.3">
      <c r="B61" s="77">
        <v>46182</v>
      </c>
      <c r="C61">
        <v>23242.1</v>
      </c>
      <c r="I61" s="77"/>
    </row>
    <row r="62" spans="2:9" x14ac:dyDescent="0.3">
      <c r="B62" s="77">
        <v>46181</v>
      </c>
      <c r="C62">
        <v>23123</v>
      </c>
      <c r="I62" s="77"/>
    </row>
    <row r="63" spans="2:9" x14ac:dyDescent="0.3">
      <c r="B63" s="77">
        <v>46178</v>
      </c>
      <c r="C63">
        <v>23366.7</v>
      </c>
      <c r="I63" s="77"/>
    </row>
    <row r="64" spans="2:9" x14ac:dyDescent="0.3">
      <c r="B64" s="77">
        <v>46177</v>
      </c>
      <c r="C64">
        <v>23416.55</v>
      </c>
      <c r="I64" s="77"/>
    </row>
    <row r="65" spans="2:9" x14ac:dyDescent="0.3">
      <c r="B65" s="77">
        <v>46176</v>
      </c>
      <c r="C65">
        <v>23405.599999999999</v>
      </c>
      <c r="I65" s="77"/>
    </row>
    <row r="66" spans="2:9" x14ac:dyDescent="0.3">
      <c r="B66" s="77">
        <v>46175</v>
      </c>
      <c r="C66">
        <v>23483.55</v>
      </c>
      <c r="I66" s="77"/>
    </row>
    <row r="67" spans="2:9" x14ac:dyDescent="0.3">
      <c r="B67" s="77">
        <v>46174</v>
      </c>
      <c r="C67">
        <v>23382.6</v>
      </c>
      <c r="I67" s="77"/>
    </row>
    <row r="68" spans="2:9" x14ac:dyDescent="0.3">
      <c r="B68" s="77">
        <v>46171</v>
      </c>
      <c r="C68">
        <v>23547.75</v>
      </c>
      <c r="I68" s="77"/>
    </row>
    <row r="69" spans="2:9" x14ac:dyDescent="0.3">
      <c r="B69" s="77">
        <v>46169</v>
      </c>
      <c r="C69">
        <v>23907.15</v>
      </c>
      <c r="I69" s="77"/>
    </row>
    <row r="70" spans="2:9" x14ac:dyDescent="0.3">
      <c r="B70" s="77">
        <v>46168</v>
      </c>
      <c r="C70">
        <v>23913.7</v>
      </c>
      <c r="I70" s="77"/>
    </row>
    <row r="71" spans="2:9" x14ac:dyDescent="0.3">
      <c r="B71" s="77">
        <v>46167</v>
      </c>
      <c r="C71">
        <v>24031.7</v>
      </c>
      <c r="I71" s="77"/>
    </row>
    <row r="72" spans="2:9" x14ac:dyDescent="0.3">
      <c r="B72" s="77">
        <v>46164</v>
      </c>
      <c r="C72">
        <v>23719.3</v>
      </c>
      <c r="I72" s="77"/>
    </row>
    <row r="73" spans="2:9" x14ac:dyDescent="0.3">
      <c r="B73" s="77">
        <v>46163</v>
      </c>
      <c r="C73">
        <v>23654.7</v>
      </c>
      <c r="I73" s="77"/>
    </row>
    <row r="74" spans="2:9" x14ac:dyDescent="0.3">
      <c r="B74" s="77">
        <v>46162</v>
      </c>
      <c r="C74">
        <v>23659</v>
      </c>
      <c r="I74" s="77"/>
    </row>
    <row r="75" spans="2:9" x14ac:dyDescent="0.3">
      <c r="B75" s="77">
        <v>46161</v>
      </c>
      <c r="C75">
        <v>23618</v>
      </c>
      <c r="I75" s="77"/>
    </row>
    <row r="76" spans="2:9" x14ac:dyDescent="0.3">
      <c r="B76" s="77">
        <v>46160</v>
      </c>
      <c r="C76">
        <v>23649.95</v>
      </c>
      <c r="I76" s="77"/>
    </row>
    <row r="77" spans="2:9" x14ac:dyDescent="0.3">
      <c r="B77" s="77">
        <v>46157</v>
      </c>
      <c r="C77">
        <v>23643.5</v>
      </c>
      <c r="I77" s="77"/>
    </row>
    <row r="78" spans="2:9" x14ac:dyDescent="0.3">
      <c r="B78" s="77">
        <v>46156</v>
      </c>
      <c r="C78">
        <v>23689.599999999999</v>
      </c>
      <c r="I78" s="77"/>
    </row>
    <row r="79" spans="2:9" x14ac:dyDescent="0.3">
      <c r="B79" s="77">
        <v>46155</v>
      </c>
      <c r="C79">
        <v>23412.6</v>
      </c>
      <c r="I79" s="77"/>
    </row>
    <row r="80" spans="2:9" x14ac:dyDescent="0.3">
      <c r="B80" s="77">
        <v>46154</v>
      </c>
      <c r="C80">
        <v>23379.55</v>
      </c>
      <c r="I80" s="77"/>
    </row>
    <row r="81" spans="2:9" x14ac:dyDescent="0.3">
      <c r="B81" s="77">
        <v>46153</v>
      </c>
      <c r="C81">
        <v>23815.85</v>
      </c>
      <c r="I81" s="77"/>
    </row>
    <row r="82" spans="2:9" x14ac:dyDescent="0.3">
      <c r="B82" s="77">
        <v>46150</v>
      </c>
      <c r="C82">
        <v>24176.15</v>
      </c>
      <c r="I82" s="77"/>
    </row>
    <row r="83" spans="2:9" x14ac:dyDescent="0.3">
      <c r="B83" s="77">
        <v>46149</v>
      </c>
      <c r="C83">
        <v>24326.65</v>
      </c>
      <c r="I83" s="77"/>
    </row>
    <row r="84" spans="2:9" x14ac:dyDescent="0.3">
      <c r="B84" s="77">
        <v>46148</v>
      </c>
      <c r="C84">
        <v>24330.95</v>
      </c>
      <c r="I84" s="77"/>
    </row>
    <row r="85" spans="2:9" x14ac:dyDescent="0.3">
      <c r="B85" s="77">
        <v>46147</v>
      </c>
      <c r="C85">
        <v>24032.799999999999</v>
      </c>
      <c r="I85" s="77"/>
    </row>
    <row r="86" spans="2:9" x14ac:dyDescent="0.3">
      <c r="B86" s="77">
        <v>46146</v>
      </c>
      <c r="C86">
        <v>24119.3</v>
      </c>
      <c r="I86" s="77"/>
    </row>
    <row r="87" spans="2:9" x14ac:dyDescent="0.3">
      <c r="B87" s="77">
        <v>46142</v>
      </c>
      <c r="C87">
        <v>23997.55</v>
      </c>
      <c r="I87" s="77"/>
    </row>
    <row r="88" spans="2:9" x14ac:dyDescent="0.3">
      <c r="B88" s="77">
        <v>46141</v>
      </c>
      <c r="C88">
        <v>24177.65</v>
      </c>
      <c r="I88" s="77"/>
    </row>
    <row r="89" spans="2:9" x14ac:dyDescent="0.3">
      <c r="B89" s="77">
        <v>46140</v>
      </c>
      <c r="C89">
        <v>23995.7</v>
      </c>
      <c r="I89" s="77"/>
    </row>
    <row r="90" spans="2:9" x14ac:dyDescent="0.3">
      <c r="B90" s="77">
        <v>46139</v>
      </c>
      <c r="C90">
        <v>24092.7</v>
      </c>
      <c r="I90" s="77"/>
    </row>
    <row r="91" spans="2:9" x14ac:dyDescent="0.3">
      <c r="B91" s="77">
        <v>46136</v>
      </c>
      <c r="C91">
        <v>23897.95</v>
      </c>
      <c r="I91" s="77"/>
    </row>
    <row r="92" spans="2:9" x14ac:dyDescent="0.3">
      <c r="B92" s="77">
        <v>46135</v>
      </c>
      <c r="C92">
        <v>24173.05</v>
      </c>
      <c r="I92" s="77"/>
    </row>
    <row r="93" spans="2:9" x14ac:dyDescent="0.3">
      <c r="B93" s="77">
        <v>46134</v>
      </c>
      <c r="C93">
        <v>24378.1</v>
      </c>
      <c r="I93" s="77"/>
    </row>
    <row r="94" spans="2:9" x14ac:dyDescent="0.3">
      <c r="B94" s="77">
        <v>46133</v>
      </c>
      <c r="C94">
        <v>24576.6</v>
      </c>
      <c r="I94" s="77"/>
    </row>
    <row r="95" spans="2:9" x14ac:dyDescent="0.3">
      <c r="B95" s="77">
        <v>46132</v>
      </c>
      <c r="C95">
        <v>24364.85</v>
      </c>
      <c r="I95" s="77"/>
    </row>
    <row r="96" spans="2:9" x14ac:dyDescent="0.3">
      <c r="B96" s="77">
        <v>46129</v>
      </c>
      <c r="C96">
        <v>24353.55</v>
      </c>
      <c r="I96" s="77"/>
    </row>
    <row r="97" spans="2:9" x14ac:dyDescent="0.3">
      <c r="B97" s="77">
        <v>46128</v>
      </c>
      <c r="C97">
        <v>24196.75</v>
      </c>
      <c r="I97" s="77"/>
    </row>
    <row r="98" spans="2:9" x14ac:dyDescent="0.3">
      <c r="B98" s="77">
        <v>46127</v>
      </c>
      <c r="C98">
        <v>24231.3</v>
      </c>
      <c r="I98" s="77"/>
    </row>
    <row r="99" spans="2:9" x14ac:dyDescent="0.3">
      <c r="B99" s="77">
        <v>46125</v>
      </c>
      <c r="C99">
        <v>23842.65</v>
      </c>
      <c r="I99" s="77"/>
    </row>
    <row r="100" spans="2:9" x14ac:dyDescent="0.3">
      <c r="B100" s="77">
        <v>46122</v>
      </c>
      <c r="C100">
        <v>24050.6</v>
      </c>
      <c r="I100" s="77"/>
    </row>
    <row r="101" spans="2:9" x14ac:dyDescent="0.3">
      <c r="B101" s="77">
        <v>46121</v>
      </c>
      <c r="C101">
        <v>23775.1</v>
      </c>
      <c r="I101" s="77"/>
    </row>
    <row r="102" spans="2:9" x14ac:dyDescent="0.3">
      <c r="B102" s="77">
        <v>46120</v>
      </c>
      <c r="C102">
        <v>23997.35</v>
      </c>
      <c r="I102" s="77"/>
    </row>
    <row r="103" spans="2:9" x14ac:dyDescent="0.3">
      <c r="B103" s="77">
        <v>46119</v>
      </c>
      <c r="C103">
        <v>23123.65</v>
      </c>
      <c r="I103" s="77"/>
    </row>
    <row r="104" spans="2:9" x14ac:dyDescent="0.3">
      <c r="B104" s="77">
        <v>46118</v>
      </c>
      <c r="C104">
        <v>22968.25</v>
      </c>
      <c r="I104" s="77"/>
    </row>
    <row r="105" spans="2:9" x14ac:dyDescent="0.3">
      <c r="B105" s="77">
        <v>46114</v>
      </c>
      <c r="C105">
        <v>22713.1</v>
      </c>
      <c r="I105" s="77"/>
    </row>
    <row r="106" spans="2:9" x14ac:dyDescent="0.3">
      <c r="B106" s="77">
        <v>46113</v>
      </c>
      <c r="C106">
        <v>22679.4</v>
      </c>
      <c r="I106" s="77"/>
    </row>
    <row r="107" spans="2:9" x14ac:dyDescent="0.3">
      <c r="B107" s="77">
        <v>46111</v>
      </c>
      <c r="C107">
        <v>22331.4</v>
      </c>
      <c r="I107" s="77"/>
    </row>
    <row r="108" spans="2:9" x14ac:dyDescent="0.3">
      <c r="B108" s="77">
        <v>46108</v>
      </c>
      <c r="C108">
        <v>22819.599999999999</v>
      </c>
      <c r="I108" s="77"/>
    </row>
    <row r="109" spans="2:9" x14ac:dyDescent="0.3">
      <c r="B109" s="77">
        <v>46106</v>
      </c>
      <c r="C109">
        <v>23306.45</v>
      </c>
      <c r="I109" s="77"/>
    </row>
    <row r="110" spans="2:9" x14ac:dyDescent="0.3">
      <c r="B110" s="77">
        <v>46105</v>
      </c>
      <c r="C110">
        <v>22912.400000000001</v>
      </c>
      <c r="I110" s="77"/>
    </row>
    <row r="111" spans="2:9" x14ac:dyDescent="0.3">
      <c r="B111" s="77">
        <v>46104</v>
      </c>
      <c r="C111">
        <v>22512.65</v>
      </c>
      <c r="I111" s="77"/>
    </row>
    <row r="112" spans="2:9" x14ac:dyDescent="0.3">
      <c r="B112" s="77">
        <v>46101</v>
      </c>
      <c r="C112">
        <v>23114.5</v>
      </c>
      <c r="I112" s="77"/>
    </row>
    <row r="113" spans="2:9" x14ac:dyDescent="0.3">
      <c r="B113" s="77">
        <v>46100</v>
      </c>
      <c r="C113">
        <v>23002.15</v>
      </c>
      <c r="I113" s="77"/>
    </row>
    <row r="114" spans="2:9" x14ac:dyDescent="0.3">
      <c r="B114" s="77">
        <v>46099</v>
      </c>
      <c r="C114">
        <v>23777.8</v>
      </c>
      <c r="I114" s="77"/>
    </row>
    <row r="115" spans="2:9" x14ac:dyDescent="0.3">
      <c r="B115" s="77">
        <v>46098</v>
      </c>
      <c r="C115">
        <v>23581.15</v>
      </c>
      <c r="I115" s="77"/>
    </row>
    <row r="116" spans="2:9" x14ac:dyDescent="0.3">
      <c r="B116" s="77">
        <v>46097</v>
      </c>
      <c r="C116">
        <v>23408.799999999999</v>
      </c>
      <c r="I116" s="77"/>
    </row>
    <row r="117" spans="2:9" x14ac:dyDescent="0.3">
      <c r="B117" s="77">
        <v>46094</v>
      </c>
      <c r="C117">
        <v>23151.1</v>
      </c>
      <c r="I117" s="77"/>
    </row>
    <row r="118" spans="2:9" x14ac:dyDescent="0.3">
      <c r="B118" s="77">
        <v>46093</v>
      </c>
      <c r="C118">
        <v>23639.15</v>
      </c>
      <c r="I118" s="77"/>
    </row>
    <row r="119" spans="2:9" x14ac:dyDescent="0.3">
      <c r="B119" s="77">
        <v>46092</v>
      </c>
      <c r="C119">
        <v>23866.85</v>
      </c>
      <c r="I119" s="77"/>
    </row>
    <row r="120" spans="2:9" x14ac:dyDescent="0.3">
      <c r="B120" s="77">
        <v>46091</v>
      </c>
      <c r="C120">
        <v>24261.599999999999</v>
      </c>
      <c r="I120" s="77"/>
    </row>
    <row r="121" spans="2:9" x14ac:dyDescent="0.3">
      <c r="B121" s="77">
        <v>46090</v>
      </c>
      <c r="C121">
        <v>24028.05</v>
      </c>
      <c r="I121" s="77"/>
    </row>
    <row r="122" spans="2:9" x14ac:dyDescent="0.3">
      <c r="B122" s="77">
        <v>46087</v>
      </c>
      <c r="C122">
        <v>24450.45</v>
      </c>
      <c r="I122" s="77"/>
    </row>
    <row r="123" spans="2:9" x14ac:dyDescent="0.3">
      <c r="B123" s="77">
        <v>46086</v>
      </c>
      <c r="C123">
        <v>24765.9</v>
      </c>
      <c r="I123" s="77"/>
    </row>
    <row r="124" spans="2:9" x14ac:dyDescent="0.3">
      <c r="B124" s="77">
        <v>46085</v>
      </c>
      <c r="C124">
        <v>24480.5</v>
      </c>
      <c r="I124" s="77"/>
    </row>
    <row r="125" spans="2:9" x14ac:dyDescent="0.3">
      <c r="B125" s="77">
        <v>46083</v>
      </c>
      <c r="C125">
        <v>24865.7</v>
      </c>
      <c r="I125" s="77"/>
    </row>
    <row r="126" spans="2:9" x14ac:dyDescent="0.3">
      <c r="B126" s="77">
        <v>46080</v>
      </c>
      <c r="C126">
        <v>25178.65</v>
      </c>
      <c r="I126" s="77"/>
    </row>
    <row r="127" spans="2:9" x14ac:dyDescent="0.3">
      <c r="B127" s="77">
        <v>46079</v>
      </c>
      <c r="C127">
        <v>25496.55</v>
      </c>
      <c r="I127" s="77"/>
    </row>
    <row r="128" spans="2:9" x14ac:dyDescent="0.3">
      <c r="B128" s="77">
        <v>46078</v>
      </c>
      <c r="C128">
        <v>25482.5</v>
      </c>
      <c r="I128" s="77"/>
    </row>
    <row r="129" spans="2:9" x14ac:dyDescent="0.3">
      <c r="B129" s="77">
        <v>46077</v>
      </c>
      <c r="C129">
        <v>25424.65</v>
      </c>
      <c r="I129" s="77"/>
    </row>
    <row r="130" spans="2:9" x14ac:dyDescent="0.3">
      <c r="B130" s="77">
        <v>46076</v>
      </c>
      <c r="C130">
        <v>25713</v>
      </c>
      <c r="I130" s="77"/>
    </row>
    <row r="131" spans="2:9" x14ac:dyDescent="0.3">
      <c r="B131" s="77">
        <v>46073</v>
      </c>
      <c r="C131">
        <v>25571.25</v>
      </c>
      <c r="I131" s="77"/>
    </row>
    <row r="132" spans="2:9" x14ac:dyDescent="0.3">
      <c r="B132" s="77">
        <v>46072</v>
      </c>
      <c r="C132">
        <v>25454.35</v>
      </c>
      <c r="I132" s="77"/>
    </row>
    <row r="133" spans="2:9" x14ac:dyDescent="0.3">
      <c r="B133" s="77">
        <v>46071</v>
      </c>
      <c r="C133">
        <v>25819.35</v>
      </c>
      <c r="I133" s="77"/>
    </row>
    <row r="134" spans="2:9" x14ac:dyDescent="0.3">
      <c r="B134" s="77">
        <v>46070</v>
      </c>
      <c r="C134">
        <v>25725.4</v>
      </c>
      <c r="I134" s="77"/>
    </row>
    <row r="135" spans="2:9" x14ac:dyDescent="0.3">
      <c r="B135" s="77">
        <v>46069</v>
      </c>
      <c r="C135">
        <v>25682.75</v>
      </c>
      <c r="I135" s="77"/>
    </row>
    <row r="136" spans="2:9" x14ac:dyDescent="0.3">
      <c r="B136" s="77">
        <v>46066</v>
      </c>
      <c r="C136">
        <v>25471.1</v>
      </c>
      <c r="I136" s="77"/>
    </row>
    <row r="137" spans="2:9" x14ac:dyDescent="0.3">
      <c r="B137" s="77">
        <v>46065</v>
      </c>
      <c r="C137">
        <v>25807.200000000001</v>
      </c>
      <c r="I137" s="77"/>
    </row>
    <row r="138" spans="2:9" x14ac:dyDescent="0.3">
      <c r="B138" s="77">
        <v>46064</v>
      </c>
      <c r="C138">
        <v>25953.85</v>
      </c>
      <c r="I138" s="77"/>
    </row>
    <row r="139" spans="2:9" x14ac:dyDescent="0.3">
      <c r="B139" s="77">
        <v>46063</v>
      </c>
      <c r="C139">
        <v>25935.15</v>
      </c>
      <c r="I139" s="77"/>
    </row>
    <row r="140" spans="2:9" x14ac:dyDescent="0.3">
      <c r="B140" s="77">
        <v>46062</v>
      </c>
      <c r="C140">
        <v>25867.3</v>
      </c>
      <c r="I140" s="77"/>
    </row>
    <row r="141" spans="2:9" x14ac:dyDescent="0.3">
      <c r="B141" s="77">
        <v>46059</v>
      </c>
      <c r="C141">
        <v>25693.7</v>
      </c>
      <c r="I141" s="77"/>
    </row>
    <row r="142" spans="2:9" x14ac:dyDescent="0.3">
      <c r="B142" s="77">
        <v>46058</v>
      </c>
      <c r="C142">
        <v>25642.799999999999</v>
      </c>
      <c r="I142" s="77"/>
    </row>
    <row r="143" spans="2:9" x14ac:dyDescent="0.3">
      <c r="B143" s="77">
        <v>46057</v>
      </c>
      <c r="C143">
        <v>25776</v>
      </c>
      <c r="I143" s="77"/>
    </row>
    <row r="144" spans="2:9" x14ac:dyDescent="0.3">
      <c r="B144" s="77">
        <v>46056</v>
      </c>
      <c r="C144">
        <v>25727.55</v>
      </c>
      <c r="I144" s="77"/>
    </row>
    <row r="145" spans="2:9" x14ac:dyDescent="0.3">
      <c r="B145" s="77">
        <v>46055</v>
      </c>
      <c r="C145">
        <v>25088.400000000001</v>
      </c>
      <c r="I145" s="77"/>
    </row>
    <row r="146" spans="2:9" x14ac:dyDescent="0.3">
      <c r="B146" s="77">
        <v>46054</v>
      </c>
      <c r="C146">
        <v>24825.45</v>
      </c>
      <c r="I146" s="77"/>
    </row>
    <row r="147" spans="2:9" x14ac:dyDescent="0.3">
      <c r="B147" s="77">
        <v>46052</v>
      </c>
      <c r="C147">
        <v>25320.65</v>
      </c>
      <c r="I147" s="77"/>
    </row>
    <row r="148" spans="2:9" x14ac:dyDescent="0.3">
      <c r="B148" s="77">
        <v>46051</v>
      </c>
      <c r="C148">
        <v>25418.9</v>
      </c>
      <c r="I148" s="77"/>
    </row>
    <row r="149" spans="2:9" x14ac:dyDescent="0.3">
      <c r="B149" s="77">
        <v>46050</v>
      </c>
      <c r="C149">
        <v>25342.75</v>
      </c>
      <c r="I149" s="77"/>
    </row>
    <row r="150" spans="2:9" x14ac:dyDescent="0.3">
      <c r="B150" s="77">
        <v>46049</v>
      </c>
      <c r="C150">
        <v>25175.4</v>
      </c>
      <c r="I150" s="77"/>
    </row>
    <row r="151" spans="2:9" x14ac:dyDescent="0.3">
      <c r="B151" s="77">
        <v>46045</v>
      </c>
      <c r="C151">
        <v>25048.65</v>
      </c>
      <c r="I151" s="77"/>
    </row>
    <row r="152" spans="2:9" x14ac:dyDescent="0.3">
      <c r="B152" s="77">
        <v>46044</v>
      </c>
      <c r="C152">
        <v>25289.9</v>
      </c>
      <c r="I152" s="77"/>
    </row>
    <row r="153" spans="2:9" x14ac:dyDescent="0.3">
      <c r="B153" s="77">
        <v>46043</v>
      </c>
      <c r="C153">
        <v>25157.5</v>
      </c>
      <c r="I153" s="77"/>
    </row>
    <row r="154" spans="2:9" x14ac:dyDescent="0.3">
      <c r="B154" s="77">
        <v>46042</v>
      </c>
      <c r="C154">
        <v>25232.5</v>
      </c>
      <c r="I154" s="77"/>
    </row>
    <row r="155" spans="2:9" x14ac:dyDescent="0.3">
      <c r="B155" s="77">
        <v>46041</v>
      </c>
      <c r="C155">
        <v>25585.5</v>
      </c>
      <c r="I155" s="77"/>
    </row>
    <row r="156" spans="2:9" x14ac:dyDescent="0.3">
      <c r="B156" s="77">
        <v>46038</v>
      </c>
      <c r="C156">
        <v>25694.35</v>
      </c>
      <c r="I156" s="77"/>
    </row>
    <row r="157" spans="2:9" x14ac:dyDescent="0.3">
      <c r="B157" s="77">
        <v>46036</v>
      </c>
      <c r="C157">
        <v>25665.599999999999</v>
      </c>
      <c r="I157" s="77"/>
    </row>
    <row r="158" spans="2:9" x14ac:dyDescent="0.3">
      <c r="B158" s="77">
        <v>46035</v>
      </c>
      <c r="C158">
        <v>25732.3</v>
      </c>
      <c r="I158" s="77"/>
    </row>
    <row r="159" spans="2:9" x14ac:dyDescent="0.3">
      <c r="B159" s="77">
        <v>46034</v>
      </c>
      <c r="C159">
        <v>25790.25</v>
      </c>
      <c r="I159" s="77"/>
    </row>
    <row r="160" spans="2:9" x14ac:dyDescent="0.3">
      <c r="B160" s="77">
        <v>46031</v>
      </c>
      <c r="C160">
        <v>25683.3</v>
      </c>
      <c r="I160" s="77"/>
    </row>
    <row r="161" spans="2:9" x14ac:dyDescent="0.3">
      <c r="B161" s="77">
        <v>46030</v>
      </c>
      <c r="C161">
        <v>25876.85</v>
      </c>
      <c r="I161" s="77"/>
    </row>
    <row r="162" spans="2:9" x14ac:dyDescent="0.3">
      <c r="B162" s="77">
        <v>46029</v>
      </c>
      <c r="C162">
        <v>26140.75</v>
      </c>
      <c r="I162" s="77"/>
    </row>
    <row r="163" spans="2:9" x14ac:dyDescent="0.3">
      <c r="B163" s="77">
        <v>46028</v>
      </c>
      <c r="C163">
        <v>26178.7</v>
      </c>
      <c r="I163" s="77"/>
    </row>
    <row r="164" spans="2:9" x14ac:dyDescent="0.3">
      <c r="B164" s="77">
        <v>46027</v>
      </c>
      <c r="C164">
        <v>26250.3</v>
      </c>
      <c r="I164" s="77"/>
    </row>
    <row r="165" spans="2:9" x14ac:dyDescent="0.3">
      <c r="B165" s="77">
        <v>46024</v>
      </c>
      <c r="C165">
        <v>26328.55</v>
      </c>
      <c r="I165" s="77"/>
    </row>
    <row r="166" spans="2:9" x14ac:dyDescent="0.3">
      <c r="B166" s="77">
        <v>46023</v>
      </c>
      <c r="C166">
        <v>26146.55</v>
      </c>
      <c r="I166" s="77"/>
    </row>
    <row r="167" spans="2:9" x14ac:dyDescent="0.3">
      <c r="B167" s="77">
        <v>46022</v>
      </c>
      <c r="C167">
        <v>26129.599999999999</v>
      </c>
      <c r="I167" s="77"/>
    </row>
    <row r="168" spans="2:9" x14ac:dyDescent="0.3">
      <c r="B168" s="77">
        <v>46021</v>
      </c>
      <c r="C168">
        <v>25938.85</v>
      </c>
      <c r="I168" s="77"/>
    </row>
    <row r="169" spans="2:9" x14ac:dyDescent="0.3">
      <c r="B169" s="77">
        <v>46020</v>
      </c>
      <c r="C169">
        <v>25942.1</v>
      </c>
      <c r="I169" s="77"/>
    </row>
    <row r="170" spans="2:9" x14ac:dyDescent="0.3">
      <c r="B170" s="77">
        <v>46017</v>
      </c>
      <c r="C170">
        <v>26042.3</v>
      </c>
      <c r="I170" s="77"/>
    </row>
    <row r="171" spans="2:9" x14ac:dyDescent="0.3">
      <c r="B171" s="77">
        <v>46015</v>
      </c>
      <c r="C171">
        <v>26142.1</v>
      </c>
      <c r="I171" s="77"/>
    </row>
    <row r="172" spans="2:9" x14ac:dyDescent="0.3">
      <c r="B172" s="77">
        <v>46014</v>
      </c>
      <c r="C172">
        <v>26177.15</v>
      </c>
      <c r="I172" s="77"/>
    </row>
    <row r="173" spans="2:9" x14ac:dyDescent="0.3">
      <c r="B173" s="77">
        <v>46013</v>
      </c>
      <c r="C173">
        <v>26172.400000000001</v>
      </c>
      <c r="I173" s="77"/>
    </row>
    <row r="174" spans="2:9" x14ac:dyDescent="0.3">
      <c r="B174" s="77">
        <v>46010</v>
      </c>
      <c r="C174">
        <v>25966.400000000001</v>
      </c>
      <c r="I174" s="77"/>
    </row>
    <row r="175" spans="2:9" x14ac:dyDescent="0.3">
      <c r="B175" s="77">
        <v>46009</v>
      </c>
      <c r="C175">
        <v>25815.55</v>
      </c>
      <c r="I175" s="77"/>
    </row>
    <row r="176" spans="2:9" x14ac:dyDescent="0.3">
      <c r="B176" s="77">
        <v>46008</v>
      </c>
      <c r="C176">
        <v>25818.55</v>
      </c>
      <c r="I176" s="77"/>
    </row>
    <row r="177" spans="2:9" x14ac:dyDescent="0.3">
      <c r="B177" s="77">
        <v>46007</v>
      </c>
      <c r="C177">
        <v>25860.1</v>
      </c>
      <c r="I177" s="77"/>
    </row>
    <row r="178" spans="2:9" x14ac:dyDescent="0.3">
      <c r="B178" s="77">
        <v>46006</v>
      </c>
      <c r="C178">
        <v>26027.3</v>
      </c>
      <c r="I178" s="77"/>
    </row>
    <row r="179" spans="2:9" x14ac:dyDescent="0.3">
      <c r="B179" s="77">
        <v>46003</v>
      </c>
      <c r="C179">
        <v>26046.95</v>
      </c>
      <c r="I179" s="77"/>
    </row>
    <row r="180" spans="2:9" x14ac:dyDescent="0.3">
      <c r="B180" s="77">
        <v>46002</v>
      </c>
      <c r="C180">
        <v>25898.55</v>
      </c>
      <c r="I180" s="77"/>
    </row>
    <row r="181" spans="2:9" x14ac:dyDescent="0.3">
      <c r="B181" s="77">
        <v>46001</v>
      </c>
      <c r="C181">
        <v>25758</v>
      </c>
      <c r="I181" s="77"/>
    </row>
    <row r="182" spans="2:9" x14ac:dyDescent="0.3">
      <c r="B182" s="77">
        <v>46000</v>
      </c>
      <c r="C182">
        <v>25839.65</v>
      </c>
      <c r="I182" s="77"/>
    </row>
    <row r="183" spans="2:9" x14ac:dyDescent="0.3">
      <c r="B183" s="77">
        <v>45999</v>
      </c>
      <c r="C183">
        <v>25960.55</v>
      </c>
      <c r="I183" s="77"/>
    </row>
    <row r="184" spans="2:9" x14ac:dyDescent="0.3">
      <c r="B184" s="77">
        <v>45996</v>
      </c>
      <c r="C184">
        <v>26186.45</v>
      </c>
      <c r="I184" s="77"/>
    </row>
    <row r="185" spans="2:9" x14ac:dyDescent="0.3">
      <c r="B185" s="77">
        <v>45995</v>
      </c>
      <c r="C185">
        <v>26033.75</v>
      </c>
      <c r="I185" s="77"/>
    </row>
    <row r="186" spans="2:9" x14ac:dyDescent="0.3">
      <c r="B186" s="77">
        <v>45994</v>
      </c>
      <c r="C186">
        <v>25986</v>
      </c>
      <c r="I186" s="77"/>
    </row>
    <row r="187" spans="2:9" x14ac:dyDescent="0.3">
      <c r="B187" s="77">
        <v>45993</v>
      </c>
      <c r="C187">
        <v>26032.2</v>
      </c>
      <c r="I187" s="77"/>
    </row>
    <row r="188" spans="2:9" x14ac:dyDescent="0.3">
      <c r="B188" s="77">
        <v>45992</v>
      </c>
      <c r="C188">
        <v>26175.75</v>
      </c>
      <c r="I188" s="77"/>
    </row>
    <row r="189" spans="2:9" x14ac:dyDescent="0.3">
      <c r="B189" s="77">
        <v>45989</v>
      </c>
      <c r="C189">
        <v>26202.95</v>
      </c>
      <c r="I189" s="77"/>
    </row>
    <row r="190" spans="2:9" x14ac:dyDescent="0.3">
      <c r="B190" s="77">
        <v>45988</v>
      </c>
      <c r="C190">
        <v>26215.55</v>
      </c>
      <c r="I190" s="77"/>
    </row>
    <row r="191" spans="2:9" x14ac:dyDescent="0.3">
      <c r="B191" s="77">
        <v>45987</v>
      </c>
      <c r="C191">
        <v>26205.3</v>
      </c>
      <c r="I191" s="77"/>
    </row>
    <row r="192" spans="2:9" x14ac:dyDescent="0.3">
      <c r="B192" s="77">
        <v>45986</v>
      </c>
      <c r="C192">
        <v>25884.799999999999</v>
      </c>
      <c r="I192" s="77"/>
    </row>
    <row r="193" spans="2:9" x14ac:dyDescent="0.3">
      <c r="B193" s="77">
        <v>45985</v>
      </c>
      <c r="C193">
        <v>25959.5</v>
      </c>
      <c r="I193" s="77"/>
    </row>
    <row r="194" spans="2:9" x14ac:dyDescent="0.3">
      <c r="B194" s="77">
        <v>45982</v>
      </c>
      <c r="C194">
        <v>26068.15</v>
      </c>
      <c r="I194" s="77"/>
    </row>
    <row r="195" spans="2:9" x14ac:dyDescent="0.3">
      <c r="B195" s="77">
        <v>45981</v>
      </c>
      <c r="C195">
        <v>26192.15</v>
      </c>
      <c r="I195" s="77"/>
    </row>
    <row r="196" spans="2:9" x14ac:dyDescent="0.3">
      <c r="B196" s="77">
        <v>45980</v>
      </c>
      <c r="C196">
        <v>26052.65</v>
      </c>
      <c r="I196" s="77"/>
    </row>
    <row r="197" spans="2:9" x14ac:dyDescent="0.3">
      <c r="B197" s="77">
        <v>45979</v>
      </c>
      <c r="C197">
        <v>25910.05</v>
      </c>
      <c r="I197" s="77"/>
    </row>
    <row r="198" spans="2:9" x14ac:dyDescent="0.3">
      <c r="B198" s="77">
        <v>45978</v>
      </c>
      <c r="C198">
        <v>26013.45</v>
      </c>
      <c r="I198" s="77"/>
    </row>
    <row r="199" spans="2:9" x14ac:dyDescent="0.3">
      <c r="B199" s="77">
        <v>45975</v>
      </c>
      <c r="C199">
        <v>25910.05</v>
      </c>
      <c r="I199" s="77"/>
    </row>
    <row r="200" spans="2:9" x14ac:dyDescent="0.3">
      <c r="B200" s="77">
        <v>45974</v>
      </c>
      <c r="C200">
        <v>25879.15</v>
      </c>
      <c r="I200" s="77"/>
    </row>
    <row r="201" spans="2:9" x14ac:dyDescent="0.3">
      <c r="B201" s="77">
        <v>45973</v>
      </c>
      <c r="C201">
        <v>25875.8</v>
      </c>
      <c r="I201" s="77"/>
    </row>
    <row r="202" spans="2:9" x14ac:dyDescent="0.3">
      <c r="B202" s="77">
        <v>45972</v>
      </c>
      <c r="C202">
        <v>25694.95</v>
      </c>
      <c r="I202" s="77"/>
    </row>
    <row r="203" spans="2:9" x14ac:dyDescent="0.3">
      <c r="B203" s="77">
        <v>45971</v>
      </c>
      <c r="C203">
        <v>25574.35</v>
      </c>
      <c r="I203" s="77"/>
    </row>
    <row r="204" spans="2:9" x14ac:dyDescent="0.3">
      <c r="B204" s="77">
        <v>45968</v>
      </c>
      <c r="C204">
        <v>25492.3</v>
      </c>
      <c r="I204" s="77"/>
    </row>
    <row r="205" spans="2:9" x14ac:dyDescent="0.3">
      <c r="B205" s="77">
        <v>45967</v>
      </c>
      <c r="C205">
        <v>25509.7</v>
      </c>
      <c r="I205" s="77"/>
    </row>
    <row r="206" spans="2:9" x14ac:dyDescent="0.3">
      <c r="B206" s="77">
        <v>45965</v>
      </c>
      <c r="C206">
        <v>25597.65</v>
      </c>
      <c r="I206" s="77"/>
    </row>
    <row r="207" spans="2:9" x14ac:dyDescent="0.3">
      <c r="B207" s="77">
        <v>45964</v>
      </c>
      <c r="C207">
        <v>25763.35</v>
      </c>
      <c r="I207" s="77"/>
    </row>
    <row r="208" spans="2:9" x14ac:dyDescent="0.3">
      <c r="B208" s="77">
        <v>45961</v>
      </c>
      <c r="C208">
        <v>25722.1</v>
      </c>
      <c r="I208" s="77"/>
    </row>
    <row r="209" spans="2:9" x14ac:dyDescent="0.3">
      <c r="B209" s="77">
        <v>45960</v>
      </c>
      <c r="C209">
        <v>25877.85</v>
      </c>
      <c r="I209" s="77"/>
    </row>
    <row r="210" spans="2:9" x14ac:dyDescent="0.3">
      <c r="B210" s="77">
        <v>45959</v>
      </c>
      <c r="C210">
        <v>26053.9</v>
      </c>
      <c r="I210" s="77"/>
    </row>
    <row r="211" spans="2:9" x14ac:dyDescent="0.3">
      <c r="B211" s="77">
        <v>45958</v>
      </c>
      <c r="C211">
        <v>25936.2</v>
      </c>
      <c r="I211" s="77"/>
    </row>
    <row r="212" spans="2:9" x14ac:dyDescent="0.3">
      <c r="B212" s="77">
        <v>45957</v>
      </c>
      <c r="C212">
        <v>25966.05</v>
      </c>
      <c r="I212" s="77"/>
    </row>
    <row r="213" spans="2:9" x14ac:dyDescent="0.3">
      <c r="B213" s="77">
        <v>45954</v>
      </c>
      <c r="C213">
        <v>25795.15</v>
      </c>
      <c r="I213" s="77"/>
    </row>
    <row r="214" spans="2:9" x14ac:dyDescent="0.3">
      <c r="B214" s="77">
        <v>45953</v>
      </c>
      <c r="C214">
        <v>25891.4</v>
      </c>
      <c r="I214" s="77"/>
    </row>
    <row r="215" spans="2:9" x14ac:dyDescent="0.3">
      <c r="B215" s="77">
        <v>45951</v>
      </c>
      <c r="C215">
        <v>25868.6</v>
      </c>
      <c r="I215" s="77"/>
    </row>
    <row r="216" spans="2:9" x14ac:dyDescent="0.3">
      <c r="B216" s="77">
        <v>45950</v>
      </c>
      <c r="C216">
        <v>25843.15</v>
      </c>
      <c r="I216" s="77"/>
    </row>
    <row r="217" spans="2:9" x14ac:dyDescent="0.3">
      <c r="B217" s="77">
        <v>45947</v>
      </c>
      <c r="C217">
        <v>25709.85</v>
      </c>
      <c r="I217" s="77"/>
    </row>
    <row r="218" spans="2:9" x14ac:dyDescent="0.3">
      <c r="B218" s="77">
        <v>45946</v>
      </c>
      <c r="C218">
        <v>25585.3</v>
      </c>
      <c r="I218" s="77"/>
    </row>
    <row r="219" spans="2:9" x14ac:dyDescent="0.3">
      <c r="B219" s="77">
        <v>45945</v>
      </c>
      <c r="C219">
        <v>25323.55</v>
      </c>
      <c r="I219" s="77"/>
    </row>
    <row r="220" spans="2:9" x14ac:dyDescent="0.3">
      <c r="B220" s="77">
        <v>45944</v>
      </c>
      <c r="C220">
        <v>25145.5</v>
      </c>
      <c r="I220" s="77"/>
    </row>
    <row r="221" spans="2:9" x14ac:dyDescent="0.3">
      <c r="B221" s="77">
        <v>45943</v>
      </c>
      <c r="C221">
        <v>25227.35</v>
      </c>
      <c r="I221" s="77"/>
    </row>
    <row r="222" spans="2:9" x14ac:dyDescent="0.3">
      <c r="B222" s="77">
        <v>45940</v>
      </c>
      <c r="C222">
        <v>25285.35</v>
      </c>
      <c r="I222" s="77"/>
    </row>
    <row r="223" spans="2:9" x14ac:dyDescent="0.3">
      <c r="B223" s="77">
        <v>45939</v>
      </c>
      <c r="C223">
        <v>25181.8</v>
      </c>
      <c r="I223" s="77"/>
    </row>
    <row r="224" spans="2:9" x14ac:dyDescent="0.3">
      <c r="B224" s="77">
        <v>45938</v>
      </c>
      <c r="C224">
        <v>25046.15</v>
      </c>
      <c r="I224" s="77"/>
    </row>
    <row r="225" spans="2:9" x14ac:dyDescent="0.3">
      <c r="B225" s="77">
        <v>45937</v>
      </c>
      <c r="C225">
        <v>25108.3</v>
      </c>
      <c r="I225" s="77"/>
    </row>
    <row r="226" spans="2:9" x14ac:dyDescent="0.3">
      <c r="B226" s="77">
        <v>45936</v>
      </c>
      <c r="C226">
        <v>25077.65</v>
      </c>
      <c r="I226" s="77"/>
    </row>
    <row r="227" spans="2:9" x14ac:dyDescent="0.3">
      <c r="B227" s="77">
        <v>45933</v>
      </c>
      <c r="C227">
        <v>24894.25</v>
      </c>
      <c r="I227" s="77"/>
    </row>
    <row r="228" spans="2:9" x14ac:dyDescent="0.3">
      <c r="B228" s="77">
        <v>45931</v>
      </c>
      <c r="C228">
        <v>24836.3</v>
      </c>
      <c r="I228" s="77"/>
    </row>
    <row r="229" spans="2:9" x14ac:dyDescent="0.3">
      <c r="B229" s="77">
        <v>45930</v>
      </c>
      <c r="C229">
        <v>24611.1</v>
      </c>
      <c r="I229" s="77"/>
    </row>
    <row r="230" spans="2:9" x14ac:dyDescent="0.3">
      <c r="B230" s="77">
        <v>45929</v>
      </c>
      <c r="C230">
        <v>24634.9</v>
      </c>
      <c r="I230" s="77"/>
    </row>
    <row r="231" spans="2:9" x14ac:dyDescent="0.3">
      <c r="B231" s="77">
        <v>45926</v>
      </c>
      <c r="C231">
        <v>24654.7</v>
      </c>
      <c r="I231" s="77"/>
    </row>
    <row r="232" spans="2:9" x14ac:dyDescent="0.3">
      <c r="B232" s="77">
        <v>45925</v>
      </c>
      <c r="C232">
        <v>24890.85</v>
      </c>
      <c r="I232" s="77"/>
    </row>
    <row r="233" spans="2:9" x14ac:dyDescent="0.3">
      <c r="B233" s="77">
        <v>45924</v>
      </c>
      <c r="C233">
        <v>25056.9</v>
      </c>
      <c r="I233" s="77"/>
    </row>
    <row r="234" spans="2:9" x14ac:dyDescent="0.3">
      <c r="B234" s="77">
        <v>45923</v>
      </c>
      <c r="C234">
        <v>25169.5</v>
      </c>
      <c r="I234" s="77"/>
    </row>
    <row r="235" spans="2:9" x14ac:dyDescent="0.3">
      <c r="B235" s="77">
        <v>45922</v>
      </c>
      <c r="C235">
        <v>25202.35</v>
      </c>
      <c r="I235" s="77"/>
    </row>
    <row r="236" spans="2:9" x14ac:dyDescent="0.3">
      <c r="B236" s="77">
        <v>45919</v>
      </c>
      <c r="C236">
        <v>25327.05</v>
      </c>
      <c r="I236" s="77"/>
    </row>
    <row r="237" spans="2:9" x14ac:dyDescent="0.3">
      <c r="B237" s="77">
        <v>45918</v>
      </c>
      <c r="C237">
        <v>25423.599999999999</v>
      </c>
      <c r="I237" s="77"/>
    </row>
    <row r="238" spans="2:9" x14ac:dyDescent="0.3">
      <c r="B238" s="77">
        <v>45917</v>
      </c>
      <c r="C238">
        <v>25330.25</v>
      </c>
      <c r="I238" s="77"/>
    </row>
    <row r="239" spans="2:9" x14ac:dyDescent="0.3">
      <c r="B239" s="77">
        <v>45916</v>
      </c>
      <c r="C239">
        <v>25239.1</v>
      </c>
      <c r="I239" s="77"/>
    </row>
    <row r="240" spans="2:9" x14ac:dyDescent="0.3">
      <c r="B240" s="77">
        <v>45915</v>
      </c>
      <c r="C240">
        <v>25069.200000000001</v>
      </c>
      <c r="I240" s="77"/>
    </row>
    <row r="241" spans="2:9" x14ac:dyDescent="0.3">
      <c r="B241" s="77">
        <v>45912</v>
      </c>
      <c r="C241">
        <v>25114</v>
      </c>
      <c r="I241" s="77"/>
    </row>
    <row r="242" spans="2:9" x14ac:dyDescent="0.3">
      <c r="B242" s="77">
        <v>45911</v>
      </c>
      <c r="C242">
        <v>25005.5</v>
      </c>
      <c r="I242" s="77"/>
    </row>
    <row r="243" spans="2:9" x14ac:dyDescent="0.3">
      <c r="B243" s="77">
        <v>45910</v>
      </c>
      <c r="C243">
        <v>24973.1</v>
      </c>
      <c r="I243" s="77"/>
    </row>
    <row r="244" spans="2:9" x14ac:dyDescent="0.3">
      <c r="B244" s="77">
        <v>45909</v>
      </c>
      <c r="C244">
        <v>24868.6</v>
      </c>
      <c r="I244" s="77"/>
    </row>
    <row r="245" spans="2:9" x14ac:dyDescent="0.3">
      <c r="B245" s="77">
        <v>45908</v>
      </c>
      <c r="C245">
        <v>24773.15</v>
      </c>
      <c r="I245" s="77"/>
    </row>
    <row r="246" spans="2:9" x14ac:dyDescent="0.3">
      <c r="B246" s="77">
        <v>45905</v>
      </c>
      <c r="C246">
        <v>24741</v>
      </c>
      <c r="I246" s="77"/>
    </row>
    <row r="247" spans="2:9" x14ac:dyDescent="0.3">
      <c r="B247" s="77">
        <v>45904</v>
      </c>
      <c r="C247">
        <v>24734.3</v>
      </c>
      <c r="I247" s="77"/>
    </row>
    <row r="248" spans="2:9" x14ac:dyDescent="0.3">
      <c r="B248" s="77">
        <v>45903</v>
      </c>
      <c r="C248">
        <v>24715.05</v>
      </c>
      <c r="I248" s="77"/>
    </row>
    <row r="249" spans="2:9" x14ac:dyDescent="0.3">
      <c r="B249" s="77">
        <v>45902</v>
      </c>
      <c r="C249">
        <v>24579.599999999999</v>
      </c>
      <c r="I249" s="77"/>
    </row>
    <row r="250" spans="2:9" x14ac:dyDescent="0.3">
      <c r="B250" s="77">
        <v>45901</v>
      </c>
      <c r="C250">
        <v>24625.05</v>
      </c>
      <c r="I250" s="77"/>
    </row>
    <row r="251" spans="2:9" x14ac:dyDescent="0.3">
      <c r="B251" s="77">
        <v>45898</v>
      </c>
      <c r="C251">
        <v>24426.85</v>
      </c>
      <c r="I251" s="77"/>
    </row>
    <row r="252" spans="2:9" x14ac:dyDescent="0.3">
      <c r="B252" s="77">
        <v>45897</v>
      </c>
      <c r="C252">
        <v>24500.9</v>
      </c>
      <c r="I252" s="77"/>
    </row>
    <row r="253" spans="2:9" x14ac:dyDescent="0.3">
      <c r="B253" s="77">
        <v>45895</v>
      </c>
      <c r="C253">
        <v>24712.05</v>
      </c>
      <c r="I253" s="77"/>
    </row>
    <row r="254" spans="2:9" x14ac:dyDescent="0.3">
      <c r="B254" s="77">
        <v>45894</v>
      </c>
      <c r="C254">
        <v>24967.75</v>
      </c>
      <c r="I254" s="77"/>
    </row>
    <row r="255" spans="2:9" x14ac:dyDescent="0.3">
      <c r="B255" s="77">
        <v>45891</v>
      </c>
      <c r="C255">
        <v>24870.1</v>
      </c>
      <c r="I255" s="77"/>
    </row>
    <row r="256" spans="2:9" x14ac:dyDescent="0.3">
      <c r="B256" s="77">
        <v>45890</v>
      </c>
      <c r="C256">
        <v>25083.75</v>
      </c>
      <c r="I256" s="77"/>
    </row>
    <row r="257" spans="2:9" x14ac:dyDescent="0.3">
      <c r="B257" s="77">
        <v>45889</v>
      </c>
      <c r="C257">
        <v>25050.55</v>
      </c>
      <c r="I257" s="77"/>
    </row>
    <row r="258" spans="2:9" x14ac:dyDescent="0.3">
      <c r="B258" s="77">
        <v>45888</v>
      </c>
      <c r="C258">
        <v>24980.65</v>
      </c>
      <c r="I258" s="77"/>
    </row>
    <row r="259" spans="2:9" x14ac:dyDescent="0.3">
      <c r="B259" s="77">
        <v>45887</v>
      </c>
      <c r="C259">
        <v>24876.95</v>
      </c>
      <c r="I259" s="77"/>
    </row>
    <row r="260" spans="2:9" x14ac:dyDescent="0.3">
      <c r="B260" s="77">
        <v>45883</v>
      </c>
      <c r="C260">
        <v>24631.3</v>
      </c>
      <c r="I260" s="77"/>
    </row>
    <row r="261" spans="2:9" x14ac:dyDescent="0.3">
      <c r="B261" s="77">
        <v>45882</v>
      </c>
      <c r="C261">
        <v>24619.35</v>
      </c>
      <c r="I261" s="77"/>
    </row>
    <row r="262" spans="2:9" x14ac:dyDescent="0.3">
      <c r="B262" s="77">
        <v>45881</v>
      </c>
      <c r="C262">
        <v>24487.4</v>
      </c>
      <c r="I262" s="77"/>
    </row>
    <row r="263" spans="2:9" x14ac:dyDescent="0.3">
      <c r="B263" s="77">
        <v>45880</v>
      </c>
      <c r="C263">
        <v>24585.05</v>
      </c>
      <c r="I263" s="77"/>
    </row>
    <row r="264" spans="2:9" x14ac:dyDescent="0.3">
      <c r="B264" s="77">
        <v>45877</v>
      </c>
      <c r="C264">
        <v>24363.3</v>
      </c>
      <c r="I264" s="77"/>
    </row>
    <row r="265" spans="2:9" x14ac:dyDescent="0.3">
      <c r="B265" s="77">
        <v>45876</v>
      </c>
      <c r="C265">
        <v>24596.15</v>
      </c>
      <c r="I265" s="77"/>
    </row>
    <row r="266" spans="2:9" x14ac:dyDescent="0.3">
      <c r="B266" s="77">
        <v>45875</v>
      </c>
      <c r="C266">
        <v>24574.2</v>
      </c>
      <c r="I266" s="77"/>
    </row>
    <row r="267" spans="2:9" x14ac:dyDescent="0.3">
      <c r="B267" s="77">
        <v>45874</v>
      </c>
      <c r="C267">
        <v>24649.55</v>
      </c>
      <c r="I267" s="77"/>
    </row>
    <row r="268" spans="2:9" x14ac:dyDescent="0.3">
      <c r="B268" s="77">
        <v>45873</v>
      </c>
      <c r="C268">
        <v>24722.75</v>
      </c>
      <c r="I268" s="77"/>
    </row>
    <row r="269" spans="2:9" x14ac:dyDescent="0.3">
      <c r="B269" s="77">
        <v>45870</v>
      </c>
      <c r="C269">
        <v>24565.35</v>
      </c>
      <c r="I269" s="77"/>
    </row>
    <row r="270" spans="2:9" x14ac:dyDescent="0.3">
      <c r="B270" s="77">
        <v>45869</v>
      </c>
      <c r="C270">
        <v>24768.35</v>
      </c>
      <c r="I270" s="77"/>
    </row>
    <row r="271" spans="2:9" x14ac:dyDescent="0.3">
      <c r="B271" s="77">
        <v>45868</v>
      </c>
      <c r="C271">
        <v>24855.05</v>
      </c>
      <c r="I271" s="77"/>
    </row>
    <row r="272" spans="2:9" x14ac:dyDescent="0.3">
      <c r="B272" s="77">
        <v>45867</v>
      </c>
      <c r="C272">
        <v>24821.1</v>
      </c>
      <c r="I272" s="77"/>
    </row>
    <row r="273" spans="2:9" x14ac:dyDescent="0.3">
      <c r="B273" s="77">
        <v>45866</v>
      </c>
      <c r="C273">
        <v>24680.9</v>
      </c>
      <c r="I273" s="77"/>
    </row>
    <row r="274" spans="2:9" x14ac:dyDescent="0.3">
      <c r="B274" s="77">
        <v>45863</v>
      </c>
      <c r="C274">
        <v>24837</v>
      </c>
      <c r="I274" s="77"/>
    </row>
    <row r="275" spans="2:9" x14ac:dyDescent="0.3">
      <c r="B275" s="77">
        <v>45862</v>
      </c>
      <c r="C275">
        <v>25062.1</v>
      </c>
      <c r="I275" s="77"/>
    </row>
    <row r="276" spans="2:9" x14ac:dyDescent="0.3">
      <c r="B276" s="77">
        <v>45861</v>
      </c>
      <c r="C276">
        <v>25219.9</v>
      </c>
      <c r="I276" s="77"/>
    </row>
    <row r="277" spans="2:9" x14ac:dyDescent="0.3">
      <c r="B277" s="77">
        <v>45860</v>
      </c>
      <c r="C277">
        <v>25060.9</v>
      </c>
      <c r="I277" s="77"/>
    </row>
    <row r="278" spans="2:9" x14ac:dyDescent="0.3">
      <c r="B278" s="77">
        <v>45859</v>
      </c>
      <c r="C278">
        <v>25090.7</v>
      </c>
      <c r="I278" s="77"/>
    </row>
    <row r="279" spans="2:9" x14ac:dyDescent="0.3">
      <c r="B279" s="77">
        <v>45856</v>
      </c>
      <c r="C279">
        <v>24968.400000000001</v>
      </c>
      <c r="I279" s="77"/>
    </row>
    <row r="280" spans="2:9" x14ac:dyDescent="0.3">
      <c r="B280" s="77">
        <v>45855</v>
      </c>
      <c r="C280">
        <v>25111.45</v>
      </c>
      <c r="I280" s="77"/>
    </row>
    <row r="281" spans="2:9" x14ac:dyDescent="0.3">
      <c r="B281" s="77">
        <v>45854</v>
      </c>
      <c r="C281">
        <v>25212.05</v>
      </c>
      <c r="I281" s="77"/>
    </row>
    <row r="282" spans="2:9" x14ac:dyDescent="0.3">
      <c r="B282" s="77">
        <v>45853</v>
      </c>
      <c r="C282">
        <v>25195.8</v>
      </c>
      <c r="I282" s="77"/>
    </row>
    <row r="283" spans="2:9" x14ac:dyDescent="0.3">
      <c r="B283" s="77">
        <v>45852</v>
      </c>
      <c r="C283">
        <v>25082.3</v>
      </c>
      <c r="I283" s="77"/>
    </row>
    <row r="284" spans="2:9" x14ac:dyDescent="0.3">
      <c r="B284" s="77">
        <v>45849</v>
      </c>
      <c r="C284">
        <v>25149.85</v>
      </c>
      <c r="I284" s="77"/>
    </row>
    <row r="285" spans="2:9" x14ac:dyDescent="0.3">
      <c r="B285" s="77">
        <v>45848</v>
      </c>
      <c r="C285">
        <v>25355.25</v>
      </c>
      <c r="I285" s="77"/>
    </row>
    <row r="286" spans="2:9" x14ac:dyDescent="0.3">
      <c r="B286" s="77">
        <v>45847</v>
      </c>
      <c r="C286">
        <v>25476.1</v>
      </c>
      <c r="I286" s="77"/>
    </row>
    <row r="287" spans="2:9" x14ac:dyDescent="0.3">
      <c r="B287" s="77">
        <v>45846</v>
      </c>
      <c r="C287">
        <v>25522.5</v>
      </c>
      <c r="I287" s="77"/>
    </row>
    <row r="288" spans="2:9" x14ac:dyDescent="0.3">
      <c r="B288" s="77">
        <v>45845</v>
      </c>
      <c r="C288">
        <v>25461.3</v>
      </c>
      <c r="I288" s="77"/>
    </row>
    <row r="289" spans="2:9" x14ac:dyDescent="0.3">
      <c r="B289" s="77">
        <v>45842</v>
      </c>
      <c r="C289">
        <v>25461</v>
      </c>
      <c r="I289" s="77"/>
    </row>
    <row r="290" spans="2:9" x14ac:dyDescent="0.3">
      <c r="B290" s="77">
        <v>45841</v>
      </c>
      <c r="C290">
        <v>25405.3</v>
      </c>
      <c r="I290" s="77"/>
    </row>
    <row r="291" spans="2:9" x14ac:dyDescent="0.3">
      <c r="B291" s="77">
        <v>45840</v>
      </c>
      <c r="C291">
        <v>25453.4</v>
      </c>
      <c r="I291" s="77"/>
    </row>
    <row r="292" spans="2:9" x14ac:dyDescent="0.3">
      <c r="B292" s="77">
        <v>45839</v>
      </c>
      <c r="C292">
        <v>25541.8</v>
      </c>
      <c r="I292" s="77"/>
    </row>
    <row r="293" spans="2:9" x14ac:dyDescent="0.3">
      <c r="B293" s="77">
        <v>45838</v>
      </c>
      <c r="C293">
        <v>25517.05</v>
      </c>
      <c r="I293" s="77"/>
    </row>
    <row r="294" spans="2:9" x14ac:dyDescent="0.3">
      <c r="B294" s="77">
        <v>45835</v>
      </c>
      <c r="C294">
        <v>25637.8</v>
      </c>
      <c r="I294" s="77"/>
    </row>
    <row r="295" spans="2:9" x14ac:dyDescent="0.3">
      <c r="B295" s="77">
        <v>45834</v>
      </c>
      <c r="C295">
        <v>25549</v>
      </c>
      <c r="I295" s="77"/>
    </row>
    <row r="296" spans="2:9" x14ac:dyDescent="0.3">
      <c r="B296" s="77">
        <v>45833</v>
      </c>
      <c r="C296">
        <v>25244.75</v>
      </c>
      <c r="I296" s="77"/>
    </row>
    <row r="297" spans="2:9" x14ac:dyDescent="0.3">
      <c r="B297" s="77">
        <v>45832</v>
      </c>
      <c r="C297">
        <v>25044.35</v>
      </c>
      <c r="I297" s="77"/>
    </row>
    <row r="298" spans="2:9" x14ac:dyDescent="0.3">
      <c r="B298" s="77">
        <v>45831</v>
      </c>
      <c r="C298">
        <v>24971.9</v>
      </c>
      <c r="I298" s="77"/>
    </row>
    <row r="299" spans="2:9" x14ac:dyDescent="0.3">
      <c r="B299" s="77">
        <v>45828</v>
      </c>
      <c r="C299">
        <v>25112.400000000001</v>
      </c>
      <c r="I299" s="77"/>
    </row>
    <row r="300" spans="2:9" x14ac:dyDescent="0.3">
      <c r="B300" s="77">
        <v>45827</v>
      </c>
      <c r="C300">
        <v>24793.25</v>
      </c>
      <c r="I300" s="77"/>
    </row>
    <row r="301" spans="2:9" x14ac:dyDescent="0.3">
      <c r="B301" s="77">
        <v>45826</v>
      </c>
      <c r="C301">
        <v>24812.05</v>
      </c>
      <c r="I301" s="77"/>
    </row>
    <row r="302" spans="2:9" x14ac:dyDescent="0.3">
      <c r="B302" s="77">
        <v>45825</v>
      </c>
      <c r="C302">
        <v>24853.4</v>
      </c>
      <c r="I302" s="77"/>
    </row>
    <row r="303" spans="2:9" x14ac:dyDescent="0.3">
      <c r="B303" s="77">
        <v>45824</v>
      </c>
      <c r="C303">
        <v>24946.5</v>
      </c>
      <c r="I303" s="77"/>
    </row>
    <row r="304" spans="2:9" x14ac:dyDescent="0.3">
      <c r="B304" s="77">
        <v>45821</v>
      </c>
      <c r="C304">
        <v>24718.6</v>
      </c>
      <c r="I304" s="77"/>
    </row>
    <row r="305" spans="2:9" x14ac:dyDescent="0.3">
      <c r="B305" s="77">
        <v>45820</v>
      </c>
      <c r="C305">
        <v>24888.2</v>
      </c>
      <c r="I305" s="77"/>
    </row>
    <row r="306" spans="2:9" x14ac:dyDescent="0.3">
      <c r="B306" s="77">
        <v>45819</v>
      </c>
      <c r="C306">
        <v>25141.4</v>
      </c>
      <c r="I306" s="77"/>
    </row>
    <row r="307" spans="2:9" x14ac:dyDescent="0.3">
      <c r="B307" s="77">
        <v>45818</v>
      </c>
      <c r="C307">
        <v>25104.25</v>
      </c>
      <c r="I307" s="77"/>
    </row>
    <row r="308" spans="2:9" x14ac:dyDescent="0.3">
      <c r="B308" s="77">
        <v>45817</v>
      </c>
      <c r="C308">
        <v>25103.200000000001</v>
      </c>
      <c r="I308" s="77"/>
    </row>
    <row r="309" spans="2:9" x14ac:dyDescent="0.3">
      <c r="B309" s="77">
        <v>45814</v>
      </c>
      <c r="C309">
        <v>25003.05</v>
      </c>
      <c r="I309" s="77"/>
    </row>
    <row r="310" spans="2:9" x14ac:dyDescent="0.3">
      <c r="B310" s="77">
        <v>45813</v>
      </c>
      <c r="C310">
        <v>24750.9</v>
      </c>
      <c r="I310" s="77"/>
    </row>
    <row r="311" spans="2:9" x14ac:dyDescent="0.3">
      <c r="B311" s="77">
        <v>45812</v>
      </c>
      <c r="C311">
        <v>24620.2</v>
      </c>
      <c r="I311" s="77"/>
    </row>
    <row r="312" spans="2:9" x14ac:dyDescent="0.3">
      <c r="B312" s="77">
        <v>45811</v>
      </c>
      <c r="C312">
        <v>24542.5</v>
      </c>
      <c r="I312" s="77"/>
    </row>
    <row r="313" spans="2:9" x14ac:dyDescent="0.3">
      <c r="B313" s="77">
        <v>45810</v>
      </c>
      <c r="C313">
        <v>24716.6</v>
      </c>
      <c r="I313" s="77"/>
    </row>
    <row r="314" spans="2:9" x14ac:dyDescent="0.3">
      <c r="B314" s="77">
        <v>45807</v>
      </c>
      <c r="C314">
        <v>24750.7</v>
      </c>
      <c r="I314" s="77"/>
    </row>
    <row r="315" spans="2:9" x14ac:dyDescent="0.3">
      <c r="B315" s="77">
        <v>45806</v>
      </c>
      <c r="C315">
        <v>24833.599999999999</v>
      </c>
      <c r="I315" s="77"/>
    </row>
    <row r="316" spans="2:9" x14ac:dyDescent="0.3">
      <c r="B316" s="77">
        <v>45805</v>
      </c>
      <c r="C316">
        <v>24752.45</v>
      </c>
      <c r="I316" s="77"/>
    </row>
    <row r="317" spans="2:9" x14ac:dyDescent="0.3">
      <c r="B317" s="77">
        <v>45804</v>
      </c>
      <c r="C317">
        <v>24826.2</v>
      </c>
      <c r="I317" s="77"/>
    </row>
    <row r="318" spans="2:9" x14ac:dyDescent="0.3">
      <c r="B318" s="77">
        <v>45803</v>
      </c>
      <c r="C318">
        <v>25001.15</v>
      </c>
      <c r="I318" s="77"/>
    </row>
    <row r="319" spans="2:9" x14ac:dyDescent="0.3">
      <c r="B319" s="77">
        <v>45800</v>
      </c>
      <c r="C319">
        <v>24853.15</v>
      </c>
      <c r="I319" s="77"/>
    </row>
    <row r="320" spans="2:9" x14ac:dyDescent="0.3">
      <c r="B320" s="77">
        <v>45799</v>
      </c>
      <c r="C320">
        <v>24609.7</v>
      </c>
      <c r="I320" s="77"/>
    </row>
    <row r="321" spans="2:9" x14ac:dyDescent="0.3">
      <c r="B321" s="77">
        <v>45798</v>
      </c>
      <c r="C321">
        <v>24813.45</v>
      </c>
      <c r="I321" s="77"/>
    </row>
    <row r="322" spans="2:9" x14ac:dyDescent="0.3">
      <c r="B322" s="77">
        <v>45797</v>
      </c>
      <c r="C322">
        <v>24683.9</v>
      </c>
      <c r="I322" s="77"/>
    </row>
    <row r="323" spans="2:9" x14ac:dyDescent="0.3">
      <c r="B323" s="77">
        <v>45796</v>
      </c>
      <c r="C323">
        <v>24945.45</v>
      </c>
      <c r="I323" s="77"/>
    </row>
    <row r="324" spans="2:9" x14ac:dyDescent="0.3">
      <c r="B324" s="77">
        <v>45793</v>
      </c>
      <c r="C324">
        <v>25019.8</v>
      </c>
      <c r="I324" s="77"/>
    </row>
    <row r="325" spans="2:9" x14ac:dyDescent="0.3">
      <c r="B325" s="77">
        <v>45792</v>
      </c>
      <c r="C325">
        <v>25062.1</v>
      </c>
      <c r="I325" s="77"/>
    </row>
    <row r="326" spans="2:9" x14ac:dyDescent="0.3">
      <c r="B326" s="77">
        <v>45791</v>
      </c>
      <c r="C326">
        <v>24666.9</v>
      </c>
      <c r="I326" s="77"/>
    </row>
    <row r="327" spans="2:9" x14ac:dyDescent="0.3">
      <c r="B327" s="77">
        <v>45790</v>
      </c>
      <c r="C327">
        <v>24578.35</v>
      </c>
      <c r="I327" s="77"/>
    </row>
    <row r="328" spans="2:9" x14ac:dyDescent="0.3">
      <c r="B328" s="77">
        <v>45789</v>
      </c>
      <c r="C328">
        <v>24924.7</v>
      </c>
      <c r="I328" s="77"/>
    </row>
    <row r="329" spans="2:9" x14ac:dyDescent="0.3">
      <c r="B329" s="77">
        <v>45786</v>
      </c>
      <c r="C329">
        <v>24008</v>
      </c>
      <c r="I329" s="77"/>
    </row>
    <row r="330" spans="2:9" x14ac:dyDescent="0.3">
      <c r="B330" s="77">
        <v>45785</v>
      </c>
      <c r="C330">
        <v>24273.8</v>
      </c>
      <c r="I330" s="77"/>
    </row>
    <row r="331" spans="2:9" x14ac:dyDescent="0.3">
      <c r="B331" s="77">
        <v>45784</v>
      </c>
      <c r="C331">
        <v>24414.400000000001</v>
      </c>
      <c r="I331" s="77"/>
    </row>
    <row r="332" spans="2:9" x14ac:dyDescent="0.3">
      <c r="B332" s="77">
        <v>45783</v>
      </c>
      <c r="C332">
        <v>24379.599999999999</v>
      </c>
      <c r="I332" s="77"/>
    </row>
    <row r="333" spans="2:9" x14ac:dyDescent="0.3">
      <c r="B333" s="77">
        <v>45782</v>
      </c>
      <c r="C333">
        <v>24461.15</v>
      </c>
      <c r="I333" s="77"/>
    </row>
    <row r="334" spans="2:9" x14ac:dyDescent="0.3">
      <c r="B334" s="77">
        <v>45779</v>
      </c>
      <c r="C334">
        <v>24346.7</v>
      </c>
      <c r="I334" s="77"/>
    </row>
    <row r="335" spans="2:9" x14ac:dyDescent="0.3">
      <c r="B335" s="77">
        <v>45777</v>
      </c>
      <c r="C335">
        <v>24334.2</v>
      </c>
      <c r="I335" s="77"/>
    </row>
    <row r="336" spans="2:9" x14ac:dyDescent="0.3">
      <c r="B336" s="77">
        <v>45776</v>
      </c>
      <c r="C336">
        <v>24335.95</v>
      </c>
      <c r="I336" s="77"/>
    </row>
    <row r="337" spans="2:9" x14ac:dyDescent="0.3">
      <c r="B337" s="77">
        <v>45775</v>
      </c>
      <c r="C337">
        <v>24328.5</v>
      </c>
      <c r="I337" s="77"/>
    </row>
    <row r="338" spans="2:9" x14ac:dyDescent="0.3">
      <c r="B338" s="77">
        <v>45772</v>
      </c>
      <c r="C338">
        <v>24039.35</v>
      </c>
      <c r="I338" s="77"/>
    </row>
    <row r="339" spans="2:9" x14ac:dyDescent="0.3">
      <c r="B339" s="77">
        <v>45771</v>
      </c>
      <c r="C339">
        <v>24246.7</v>
      </c>
      <c r="I339" s="77"/>
    </row>
    <row r="340" spans="2:9" x14ac:dyDescent="0.3">
      <c r="B340" s="77">
        <v>45770</v>
      </c>
      <c r="C340">
        <v>24328.95</v>
      </c>
      <c r="I340" s="77"/>
    </row>
    <row r="341" spans="2:9" x14ac:dyDescent="0.3">
      <c r="B341" s="77">
        <v>45769</v>
      </c>
      <c r="C341">
        <v>24167.25</v>
      </c>
      <c r="I341" s="77"/>
    </row>
    <row r="342" spans="2:9" x14ac:dyDescent="0.3">
      <c r="B342" s="77">
        <v>45768</v>
      </c>
      <c r="C342">
        <v>24125.55</v>
      </c>
      <c r="I342" s="77"/>
    </row>
    <row r="343" spans="2:9" x14ac:dyDescent="0.3">
      <c r="B343" s="77">
        <v>45764</v>
      </c>
      <c r="C343">
        <v>23851.65</v>
      </c>
      <c r="I343" s="77"/>
    </row>
    <row r="344" spans="2:9" x14ac:dyDescent="0.3">
      <c r="B344" s="77">
        <v>45763</v>
      </c>
      <c r="C344">
        <v>23437.200000000001</v>
      </c>
      <c r="I344" s="77"/>
    </row>
    <row r="345" spans="2:9" x14ac:dyDescent="0.3">
      <c r="B345" s="77">
        <v>45762</v>
      </c>
      <c r="C345">
        <v>23328.55</v>
      </c>
      <c r="I345" s="77"/>
    </row>
    <row r="346" spans="2:9" x14ac:dyDescent="0.3">
      <c r="B346" s="77">
        <v>45758</v>
      </c>
      <c r="C346">
        <v>22828.55</v>
      </c>
      <c r="I346" s="77"/>
    </row>
    <row r="347" spans="2:9" x14ac:dyDescent="0.3">
      <c r="B347" s="77">
        <v>45756</v>
      </c>
      <c r="C347">
        <v>22399.15</v>
      </c>
      <c r="I347" s="77"/>
    </row>
    <row r="348" spans="2:9" x14ac:dyDescent="0.3">
      <c r="B348" s="77">
        <v>45755</v>
      </c>
      <c r="C348">
        <v>22535.85</v>
      </c>
      <c r="I348" s="77"/>
    </row>
    <row r="349" spans="2:9" x14ac:dyDescent="0.3">
      <c r="B349" s="77">
        <v>45754</v>
      </c>
      <c r="C349">
        <v>22161.599999999999</v>
      </c>
      <c r="I349" s="77"/>
    </row>
    <row r="350" spans="2:9" x14ac:dyDescent="0.3">
      <c r="B350" s="77">
        <v>45751</v>
      </c>
      <c r="C350">
        <v>22904.45</v>
      </c>
      <c r="I350" s="77"/>
    </row>
    <row r="351" spans="2:9" x14ac:dyDescent="0.3">
      <c r="B351" s="77">
        <v>45750</v>
      </c>
      <c r="C351">
        <v>23250.1</v>
      </c>
      <c r="I351" s="77"/>
    </row>
    <row r="352" spans="2:9" x14ac:dyDescent="0.3">
      <c r="B352" s="77">
        <v>45749</v>
      </c>
      <c r="C352">
        <v>23332.35</v>
      </c>
      <c r="I352" s="77"/>
    </row>
    <row r="353" spans="2:9" x14ac:dyDescent="0.3">
      <c r="B353" s="77">
        <v>45748</v>
      </c>
      <c r="C353">
        <v>23165.7</v>
      </c>
      <c r="I353" s="77"/>
    </row>
    <row r="354" spans="2:9" x14ac:dyDescent="0.3">
      <c r="B354" s="77">
        <v>45744</v>
      </c>
      <c r="C354">
        <v>23519.35</v>
      </c>
      <c r="I354" s="77"/>
    </row>
    <row r="355" spans="2:9" x14ac:dyDescent="0.3">
      <c r="B355" s="77">
        <v>45743</v>
      </c>
      <c r="C355">
        <v>23591.95</v>
      </c>
      <c r="I355" s="77"/>
    </row>
    <row r="356" spans="2:9" x14ac:dyDescent="0.3">
      <c r="B356" s="77">
        <v>45742</v>
      </c>
      <c r="C356">
        <v>23486.85</v>
      </c>
      <c r="I356" s="77"/>
    </row>
    <row r="357" spans="2:9" x14ac:dyDescent="0.3">
      <c r="B357" s="77">
        <v>45741</v>
      </c>
      <c r="C357">
        <v>23668.65</v>
      </c>
      <c r="I357" s="77"/>
    </row>
    <row r="358" spans="2:9" x14ac:dyDescent="0.3">
      <c r="B358" s="77">
        <v>45740</v>
      </c>
      <c r="C358">
        <v>23658.35</v>
      </c>
      <c r="I358" s="77"/>
    </row>
    <row r="359" spans="2:9" x14ac:dyDescent="0.3">
      <c r="B359" s="77">
        <v>45737</v>
      </c>
      <c r="C359">
        <v>23350.400000000001</v>
      </c>
      <c r="I359" s="77"/>
    </row>
    <row r="360" spans="2:9" x14ac:dyDescent="0.3">
      <c r="B360" s="77">
        <v>45736</v>
      </c>
      <c r="C360">
        <v>23190.65</v>
      </c>
      <c r="I360" s="77"/>
    </row>
    <row r="361" spans="2:9" x14ac:dyDescent="0.3">
      <c r="B361" s="77">
        <v>45735</v>
      </c>
      <c r="C361">
        <v>22907.599999999999</v>
      </c>
      <c r="I361" s="77"/>
    </row>
    <row r="362" spans="2:9" x14ac:dyDescent="0.3">
      <c r="B362" s="77">
        <v>45734</v>
      </c>
      <c r="C362">
        <v>22834.3</v>
      </c>
      <c r="I362" s="77"/>
    </row>
    <row r="363" spans="2:9" x14ac:dyDescent="0.3">
      <c r="B363" s="77">
        <v>45733</v>
      </c>
      <c r="C363">
        <v>22508.75</v>
      </c>
      <c r="I363" s="77"/>
    </row>
    <row r="364" spans="2:9" x14ac:dyDescent="0.3">
      <c r="B364" s="77">
        <v>45729</v>
      </c>
      <c r="C364">
        <v>22397.200000000001</v>
      </c>
      <c r="I364" s="77"/>
    </row>
    <row r="365" spans="2:9" x14ac:dyDescent="0.3">
      <c r="B365" s="77">
        <v>45728</v>
      </c>
      <c r="C365">
        <v>22470.5</v>
      </c>
      <c r="I365" s="77"/>
    </row>
    <row r="366" spans="2:9" x14ac:dyDescent="0.3">
      <c r="B366" s="77">
        <v>45727</v>
      </c>
      <c r="C366">
        <v>22497.9</v>
      </c>
      <c r="I366" s="77"/>
    </row>
    <row r="367" spans="2:9" x14ac:dyDescent="0.3">
      <c r="B367" s="77">
        <v>45726</v>
      </c>
      <c r="C367">
        <v>22460.3</v>
      </c>
      <c r="I367" s="77"/>
    </row>
    <row r="368" spans="2:9" x14ac:dyDescent="0.3">
      <c r="B368" s="77">
        <v>45723</v>
      </c>
      <c r="C368">
        <v>22552.5</v>
      </c>
      <c r="I368" s="77"/>
    </row>
    <row r="369" spans="2:9" x14ac:dyDescent="0.3">
      <c r="B369" s="77">
        <v>45722</v>
      </c>
      <c r="C369">
        <v>22544.7</v>
      </c>
      <c r="I369" s="77"/>
    </row>
    <row r="370" spans="2:9" x14ac:dyDescent="0.3">
      <c r="B370" s="77">
        <v>45721</v>
      </c>
      <c r="C370">
        <v>22337.3</v>
      </c>
      <c r="I370" s="77"/>
    </row>
    <row r="371" spans="2:9" x14ac:dyDescent="0.3">
      <c r="B371" s="77">
        <v>45720</v>
      </c>
      <c r="C371">
        <v>22082.65</v>
      </c>
      <c r="I371" s="77"/>
    </row>
    <row r="372" spans="2:9" x14ac:dyDescent="0.3">
      <c r="B372" s="77">
        <v>45719</v>
      </c>
      <c r="C372">
        <v>22119.3</v>
      </c>
      <c r="I372" s="77"/>
    </row>
    <row r="373" spans="2:9" x14ac:dyDescent="0.3">
      <c r="B373" s="77">
        <v>45716</v>
      </c>
      <c r="C373">
        <v>22124.7</v>
      </c>
      <c r="I373" s="77"/>
    </row>
    <row r="374" spans="2:9" x14ac:dyDescent="0.3">
      <c r="B374" s="77">
        <v>45715</v>
      </c>
      <c r="C374">
        <v>22545.05</v>
      </c>
      <c r="I374" s="77"/>
    </row>
    <row r="375" spans="2:9" x14ac:dyDescent="0.3">
      <c r="B375" s="77">
        <v>45713</v>
      </c>
      <c r="C375">
        <v>22547.55</v>
      </c>
      <c r="I375" s="77"/>
    </row>
    <row r="376" spans="2:9" x14ac:dyDescent="0.3">
      <c r="B376" s="77">
        <v>45712</v>
      </c>
      <c r="C376">
        <v>22553.35</v>
      </c>
      <c r="I376" s="77"/>
    </row>
    <row r="377" spans="2:9" x14ac:dyDescent="0.3">
      <c r="B377" s="77">
        <v>45709</v>
      </c>
      <c r="C377">
        <v>22795.9</v>
      </c>
      <c r="I377" s="77"/>
    </row>
    <row r="378" spans="2:9" x14ac:dyDescent="0.3">
      <c r="B378" s="77">
        <v>45708</v>
      </c>
      <c r="C378">
        <v>22913.15</v>
      </c>
      <c r="I378" s="77"/>
    </row>
    <row r="379" spans="2:9" x14ac:dyDescent="0.3">
      <c r="B379" s="77">
        <v>45707</v>
      </c>
      <c r="C379">
        <v>22932.9</v>
      </c>
      <c r="I379" s="77"/>
    </row>
    <row r="380" spans="2:9" x14ac:dyDescent="0.3">
      <c r="B380" s="77">
        <v>45706</v>
      </c>
      <c r="C380">
        <v>22945.3</v>
      </c>
      <c r="I380" s="77"/>
    </row>
    <row r="381" spans="2:9" x14ac:dyDescent="0.3">
      <c r="B381" s="77">
        <v>45705</v>
      </c>
      <c r="C381">
        <v>22959.5</v>
      </c>
      <c r="I381" s="77"/>
    </row>
    <row r="382" spans="2:9" x14ac:dyDescent="0.3">
      <c r="B382" s="77">
        <v>45702</v>
      </c>
      <c r="C382">
        <v>22929.25</v>
      </c>
      <c r="I382" s="77"/>
    </row>
    <row r="383" spans="2:9" x14ac:dyDescent="0.3">
      <c r="B383" s="77">
        <v>45701</v>
      </c>
      <c r="C383">
        <v>23031.4</v>
      </c>
      <c r="I383" s="77"/>
    </row>
    <row r="384" spans="2:9" x14ac:dyDescent="0.3">
      <c r="B384" s="77">
        <v>45700</v>
      </c>
      <c r="C384">
        <v>23045.25</v>
      </c>
      <c r="I384" s="77"/>
    </row>
    <row r="385" spans="2:9" x14ac:dyDescent="0.3">
      <c r="B385" s="77">
        <v>45699</v>
      </c>
      <c r="C385">
        <v>23071.8</v>
      </c>
      <c r="I385" s="77"/>
    </row>
    <row r="386" spans="2:9" x14ac:dyDescent="0.3">
      <c r="B386" s="77">
        <v>45698</v>
      </c>
      <c r="C386">
        <v>23381.599999999999</v>
      </c>
      <c r="I386" s="77"/>
    </row>
    <row r="387" spans="2:9" x14ac:dyDescent="0.3">
      <c r="B387" s="77">
        <v>45695</v>
      </c>
      <c r="C387">
        <v>23559.95</v>
      </c>
      <c r="I387" s="77"/>
    </row>
    <row r="388" spans="2:9" x14ac:dyDescent="0.3">
      <c r="B388" s="77">
        <v>45694</v>
      </c>
      <c r="C388">
        <v>23603.35</v>
      </c>
      <c r="I388" s="77"/>
    </row>
    <row r="389" spans="2:9" x14ac:dyDescent="0.3">
      <c r="B389" s="77">
        <v>45693</v>
      </c>
      <c r="C389">
        <v>23696.3</v>
      </c>
      <c r="I389" s="77"/>
    </row>
    <row r="390" spans="2:9" x14ac:dyDescent="0.3">
      <c r="B390" s="77">
        <v>45692</v>
      </c>
      <c r="C390">
        <v>23739.25</v>
      </c>
      <c r="I390" s="77"/>
    </row>
    <row r="391" spans="2:9" x14ac:dyDescent="0.3">
      <c r="B391" s="77">
        <v>45691</v>
      </c>
      <c r="C391">
        <v>23361.05</v>
      </c>
      <c r="I391" s="77"/>
    </row>
    <row r="392" spans="2:9" x14ac:dyDescent="0.3">
      <c r="B392" s="77">
        <v>45689</v>
      </c>
      <c r="C392">
        <v>23482.15</v>
      </c>
      <c r="I392" s="77"/>
    </row>
    <row r="393" spans="2:9" x14ac:dyDescent="0.3">
      <c r="B393" s="77">
        <v>45688</v>
      </c>
      <c r="C393">
        <v>23508.400000000001</v>
      </c>
      <c r="I393" s="77"/>
    </row>
    <row r="394" spans="2:9" x14ac:dyDescent="0.3">
      <c r="B394" s="77">
        <v>45687</v>
      </c>
      <c r="C394">
        <v>23249.5</v>
      </c>
      <c r="I394" s="77"/>
    </row>
    <row r="395" spans="2:9" x14ac:dyDescent="0.3">
      <c r="B395" s="77">
        <v>45686</v>
      </c>
      <c r="C395">
        <v>23163.1</v>
      </c>
      <c r="I395" s="77"/>
    </row>
    <row r="396" spans="2:9" x14ac:dyDescent="0.3">
      <c r="B396" s="77">
        <v>45685</v>
      </c>
      <c r="C396">
        <v>22957.25</v>
      </c>
      <c r="I396" s="77"/>
    </row>
    <row r="397" spans="2:9" x14ac:dyDescent="0.3">
      <c r="B397" s="77">
        <v>45684</v>
      </c>
      <c r="C397">
        <v>22829.15</v>
      </c>
      <c r="I397" s="77"/>
    </row>
    <row r="398" spans="2:9" x14ac:dyDescent="0.3">
      <c r="B398" s="77">
        <v>45681</v>
      </c>
      <c r="C398">
        <v>23092.2</v>
      </c>
      <c r="I398" s="77"/>
    </row>
    <row r="399" spans="2:9" x14ac:dyDescent="0.3">
      <c r="B399" s="77">
        <v>45680</v>
      </c>
      <c r="C399">
        <v>23205.35</v>
      </c>
      <c r="I399" s="77"/>
    </row>
    <row r="400" spans="2:9" x14ac:dyDescent="0.3">
      <c r="B400" s="77">
        <v>45679</v>
      </c>
      <c r="C400">
        <v>23155.35</v>
      </c>
      <c r="I400" s="77"/>
    </row>
    <row r="401" spans="2:9" x14ac:dyDescent="0.3">
      <c r="B401" s="77">
        <v>45678</v>
      </c>
      <c r="C401">
        <v>23024.65</v>
      </c>
      <c r="I401" s="77"/>
    </row>
    <row r="402" spans="2:9" x14ac:dyDescent="0.3">
      <c r="B402" s="77">
        <v>45677</v>
      </c>
      <c r="C402">
        <v>23344.75</v>
      </c>
      <c r="I402" s="77"/>
    </row>
    <row r="403" spans="2:9" x14ac:dyDescent="0.3">
      <c r="B403" s="77">
        <v>45674</v>
      </c>
      <c r="C403">
        <v>23203.200000000001</v>
      </c>
      <c r="I403" s="77"/>
    </row>
    <row r="404" spans="2:9" x14ac:dyDescent="0.3">
      <c r="B404" s="77">
        <v>45673</v>
      </c>
      <c r="C404">
        <v>23311.8</v>
      </c>
      <c r="I404" s="77"/>
    </row>
    <row r="405" spans="2:9" x14ac:dyDescent="0.3">
      <c r="B405" s="77">
        <v>45672</v>
      </c>
      <c r="C405">
        <v>23213.200000000001</v>
      </c>
      <c r="I405" s="77"/>
    </row>
    <row r="406" spans="2:9" x14ac:dyDescent="0.3">
      <c r="B406" s="77">
        <v>45671</v>
      </c>
      <c r="C406">
        <v>23176.05</v>
      </c>
      <c r="I406" s="77"/>
    </row>
    <row r="407" spans="2:9" x14ac:dyDescent="0.3">
      <c r="B407" s="77">
        <v>45670</v>
      </c>
      <c r="C407">
        <v>23085.95</v>
      </c>
      <c r="I407" s="77"/>
    </row>
    <row r="408" spans="2:9" x14ac:dyDescent="0.3">
      <c r="B408" s="77">
        <v>45667</v>
      </c>
      <c r="C408">
        <v>23431.5</v>
      </c>
      <c r="I408" s="77"/>
    </row>
    <row r="409" spans="2:9" x14ac:dyDescent="0.3">
      <c r="B409" s="77">
        <v>45666</v>
      </c>
      <c r="C409">
        <v>23526.5</v>
      </c>
      <c r="I409" s="77"/>
    </row>
    <row r="410" spans="2:9" x14ac:dyDescent="0.3">
      <c r="B410" s="77">
        <v>45665</v>
      </c>
      <c r="C410">
        <v>23688.95</v>
      </c>
      <c r="I410" s="77"/>
    </row>
    <row r="411" spans="2:9" x14ac:dyDescent="0.3">
      <c r="B411" s="77">
        <v>45664</v>
      </c>
      <c r="C411">
        <v>23707.9</v>
      </c>
      <c r="I411" s="77"/>
    </row>
    <row r="412" spans="2:9" x14ac:dyDescent="0.3">
      <c r="B412" s="77">
        <v>45663</v>
      </c>
      <c r="C412">
        <v>23616.05</v>
      </c>
      <c r="I412" s="77"/>
    </row>
    <row r="413" spans="2:9" x14ac:dyDescent="0.3">
      <c r="B413" s="77">
        <v>45660</v>
      </c>
      <c r="C413">
        <v>24004.75</v>
      </c>
      <c r="I413" s="77"/>
    </row>
    <row r="414" spans="2:9" x14ac:dyDescent="0.3">
      <c r="B414" s="77">
        <v>45659</v>
      </c>
      <c r="C414">
        <v>24188.65</v>
      </c>
      <c r="I414" s="77"/>
    </row>
    <row r="415" spans="2:9" x14ac:dyDescent="0.3">
      <c r="B415" s="77">
        <v>45658</v>
      </c>
      <c r="C415">
        <v>23742.9</v>
      </c>
      <c r="I415" s="77"/>
    </row>
    <row r="416" spans="2:9" x14ac:dyDescent="0.3">
      <c r="B416" s="77">
        <v>45657</v>
      </c>
      <c r="C416">
        <v>23644.799999999999</v>
      </c>
      <c r="I416" s="77"/>
    </row>
    <row r="417" spans="2:9" x14ac:dyDescent="0.3">
      <c r="B417" s="77">
        <v>45656</v>
      </c>
      <c r="C417">
        <v>23644.9</v>
      </c>
      <c r="I417" s="77"/>
    </row>
    <row r="418" spans="2:9" x14ac:dyDescent="0.3">
      <c r="B418" s="77">
        <v>45653</v>
      </c>
      <c r="C418">
        <v>23813.4</v>
      </c>
      <c r="I418" s="77"/>
    </row>
    <row r="419" spans="2:9" x14ac:dyDescent="0.3">
      <c r="B419" s="77">
        <v>45652</v>
      </c>
      <c r="C419">
        <v>23750.2</v>
      </c>
      <c r="I419" s="77"/>
    </row>
    <row r="420" spans="2:9" x14ac:dyDescent="0.3">
      <c r="B420" s="77">
        <v>45650</v>
      </c>
      <c r="C420">
        <v>23727.65</v>
      </c>
      <c r="I420" s="77"/>
    </row>
    <row r="421" spans="2:9" x14ac:dyDescent="0.3">
      <c r="B421" s="77">
        <v>45649</v>
      </c>
      <c r="C421">
        <v>23753.45</v>
      </c>
      <c r="I421" s="77"/>
    </row>
    <row r="422" spans="2:9" x14ac:dyDescent="0.3">
      <c r="B422" s="77">
        <v>45646</v>
      </c>
      <c r="C422">
        <v>23587.5</v>
      </c>
      <c r="I422" s="77"/>
    </row>
    <row r="423" spans="2:9" x14ac:dyDescent="0.3">
      <c r="B423" s="77">
        <v>45645</v>
      </c>
      <c r="C423">
        <v>23951.7</v>
      </c>
      <c r="I423" s="77"/>
    </row>
    <row r="424" spans="2:9" x14ac:dyDescent="0.3">
      <c r="B424" s="77">
        <v>45644</v>
      </c>
      <c r="C424">
        <v>24198.85</v>
      </c>
      <c r="I424" s="77"/>
    </row>
    <row r="425" spans="2:9" x14ac:dyDescent="0.3">
      <c r="B425" s="77">
        <v>45643</v>
      </c>
      <c r="C425">
        <v>24336</v>
      </c>
      <c r="I425" s="77"/>
    </row>
    <row r="426" spans="2:9" x14ac:dyDescent="0.3">
      <c r="B426" s="77">
        <v>45642</v>
      </c>
      <c r="C426">
        <v>24668.25</v>
      </c>
      <c r="I426" s="77"/>
    </row>
    <row r="427" spans="2:9" x14ac:dyDescent="0.3">
      <c r="B427" s="77">
        <v>45639</v>
      </c>
      <c r="C427">
        <v>24768.3</v>
      </c>
      <c r="I427" s="77"/>
    </row>
    <row r="428" spans="2:9" x14ac:dyDescent="0.3">
      <c r="B428" s="77">
        <v>45638</v>
      </c>
      <c r="C428">
        <v>24548.7</v>
      </c>
      <c r="I428" s="77"/>
    </row>
    <row r="429" spans="2:9" x14ac:dyDescent="0.3">
      <c r="B429" s="77">
        <v>45637</v>
      </c>
      <c r="C429">
        <v>24641.8</v>
      </c>
      <c r="I429" s="77"/>
    </row>
    <row r="430" spans="2:9" x14ac:dyDescent="0.3">
      <c r="B430" s="77">
        <v>45636</v>
      </c>
      <c r="C430">
        <v>24610.05</v>
      </c>
      <c r="I430" s="77"/>
    </row>
    <row r="431" spans="2:9" x14ac:dyDescent="0.3">
      <c r="B431" s="77">
        <v>45635</v>
      </c>
      <c r="C431">
        <v>24619</v>
      </c>
      <c r="I431" s="77"/>
    </row>
    <row r="432" spans="2:9" x14ac:dyDescent="0.3">
      <c r="B432" s="77">
        <v>45632</v>
      </c>
      <c r="C432">
        <v>24677.8</v>
      </c>
      <c r="I432" s="77"/>
    </row>
    <row r="433" spans="2:9" x14ac:dyDescent="0.3">
      <c r="B433" s="77">
        <v>45631</v>
      </c>
      <c r="C433">
        <v>24708.400000000001</v>
      </c>
      <c r="I433" s="77"/>
    </row>
    <row r="434" spans="2:9" x14ac:dyDescent="0.3">
      <c r="B434" s="77">
        <v>45630</v>
      </c>
      <c r="C434">
        <v>24467.45</v>
      </c>
      <c r="I434" s="77"/>
    </row>
    <row r="435" spans="2:9" x14ac:dyDescent="0.3">
      <c r="B435" s="77">
        <v>45629</v>
      </c>
      <c r="C435">
        <v>24457.15</v>
      </c>
      <c r="I435" s="77"/>
    </row>
    <row r="436" spans="2:9" x14ac:dyDescent="0.3">
      <c r="B436" s="77">
        <v>45628</v>
      </c>
      <c r="C436">
        <v>24276.05</v>
      </c>
      <c r="I436" s="77"/>
    </row>
    <row r="437" spans="2:9" x14ac:dyDescent="0.3">
      <c r="B437" s="77">
        <v>45625</v>
      </c>
      <c r="C437">
        <v>24131.1</v>
      </c>
      <c r="I437" s="77"/>
    </row>
    <row r="438" spans="2:9" x14ac:dyDescent="0.3">
      <c r="B438" s="77">
        <v>45624</v>
      </c>
      <c r="C438">
        <v>23914.15</v>
      </c>
      <c r="I438" s="77"/>
    </row>
    <row r="439" spans="2:9" x14ac:dyDescent="0.3">
      <c r="B439" s="77">
        <v>45623</v>
      </c>
      <c r="C439">
        <v>24274.9</v>
      </c>
      <c r="I439" s="77"/>
    </row>
    <row r="440" spans="2:9" x14ac:dyDescent="0.3">
      <c r="B440" s="77">
        <v>45622</v>
      </c>
      <c r="C440">
        <v>24194.5</v>
      </c>
      <c r="I440" s="77"/>
    </row>
    <row r="441" spans="2:9" x14ac:dyDescent="0.3">
      <c r="B441" s="77">
        <v>45621</v>
      </c>
      <c r="C441">
        <v>24221.9</v>
      </c>
      <c r="I441" s="77"/>
    </row>
    <row r="442" spans="2:9" x14ac:dyDescent="0.3">
      <c r="B442" s="77">
        <v>45618</v>
      </c>
      <c r="C442">
        <v>23907.25</v>
      </c>
      <c r="I442" s="77"/>
    </row>
    <row r="443" spans="2:9" x14ac:dyDescent="0.3">
      <c r="B443" s="77">
        <v>45617</v>
      </c>
      <c r="C443">
        <v>23349.9</v>
      </c>
      <c r="I443" s="77"/>
    </row>
    <row r="444" spans="2:9" x14ac:dyDescent="0.3">
      <c r="B444" s="77">
        <v>45615</v>
      </c>
      <c r="C444">
        <v>23518.5</v>
      </c>
      <c r="I444" s="77"/>
    </row>
    <row r="445" spans="2:9" x14ac:dyDescent="0.3">
      <c r="B445" s="77">
        <v>45614</v>
      </c>
      <c r="C445">
        <v>23453.8</v>
      </c>
      <c r="I445" s="77"/>
    </row>
    <row r="446" spans="2:9" x14ac:dyDescent="0.3">
      <c r="B446" s="77">
        <v>45610</v>
      </c>
      <c r="C446">
        <v>23532.7</v>
      </c>
      <c r="I446" s="77"/>
    </row>
    <row r="447" spans="2:9" x14ac:dyDescent="0.3">
      <c r="B447" s="77">
        <v>45609</v>
      </c>
      <c r="C447">
        <v>23559.05</v>
      </c>
      <c r="I447" s="77"/>
    </row>
    <row r="448" spans="2:9" x14ac:dyDescent="0.3">
      <c r="B448" s="77">
        <v>45608</v>
      </c>
      <c r="C448">
        <v>23883.45</v>
      </c>
      <c r="I448" s="77"/>
    </row>
    <row r="449" spans="2:9" x14ac:dyDescent="0.3">
      <c r="B449" s="77">
        <v>45607</v>
      </c>
      <c r="C449">
        <v>24141.3</v>
      </c>
      <c r="I449" s="77"/>
    </row>
    <row r="450" spans="2:9" x14ac:dyDescent="0.3">
      <c r="B450" s="77">
        <v>45604</v>
      </c>
      <c r="C450">
        <v>24148.2</v>
      </c>
      <c r="I450" s="77"/>
    </row>
    <row r="451" spans="2:9" x14ac:dyDescent="0.3">
      <c r="B451" s="77">
        <v>45603</v>
      </c>
      <c r="C451">
        <v>24199.35</v>
      </c>
      <c r="I451" s="77"/>
    </row>
    <row r="452" spans="2:9" x14ac:dyDescent="0.3">
      <c r="B452" s="77">
        <v>45602</v>
      </c>
      <c r="C452">
        <v>24484.05</v>
      </c>
      <c r="I452" s="77"/>
    </row>
    <row r="453" spans="2:9" x14ac:dyDescent="0.3">
      <c r="B453" s="77">
        <v>45601</v>
      </c>
      <c r="C453">
        <v>24213.3</v>
      </c>
      <c r="I453" s="77"/>
    </row>
    <row r="454" spans="2:9" x14ac:dyDescent="0.3">
      <c r="B454" s="77">
        <v>45600</v>
      </c>
      <c r="C454">
        <v>23995.35</v>
      </c>
      <c r="I454" s="77"/>
    </row>
    <row r="455" spans="2:9" x14ac:dyDescent="0.3">
      <c r="B455" s="77">
        <v>45597</v>
      </c>
      <c r="C455">
        <v>24304.35</v>
      </c>
      <c r="I455" s="77"/>
    </row>
    <row r="456" spans="2:9" x14ac:dyDescent="0.3">
      <c r="B456" s="77">
        <v>45596</v>
      </c>
      <c r="C456">
        <v>24205.35</v>
      </c>
      <c r="I456" s="77"/>
    </row>
    <row r="457" spans="2:9" x14ac:dyDescent="0.3">
      <c r="B457" s="77">
        <v>45595</v>
      </c>
      <c r="C457">
        <v>24340.85</v>
      </c>
      <c r="I457" s="77"/>
    </row>
    <row r="458" spans="2:9" x14ac:dyDescent="0.3">
      <c r="B458" s="77">
        <v>45594</v>
      </c>
      <c r="C458">
        <v>24466.85</v>
      </c>
      <c r="I458" s="77"/>
    </row>
    <row r="459" spans="2:9" x14ac:dyDescent="0.3">
      <c r="B459" s="77">
        <v>45593</v>
      </c>
      <c r="C459">
        <v>24339.15</v>
      </c>
      <c r="I459" s="77"/>
    </row>
    <row r="460" spans="2:9" x14ac:dyDescent="0.3">
      <c r="B460" s="77">
        <v>45590</v>
      </c>
      <c r="C460">
        <v>24180.799999999999</v>
      </c>
      <c r="I460" s="77"/>
    </row>
    <row r="461" spans="2:9" x14ac:dyDescent="0.3">
      <c r="B461" s="77">
        <v>45589</v>
      </c>
      <c r="C461">
        <v>24399.4</v>
      </c>
      <c r="I461" s="77"/>
    </row>
    <row r="462" spans="2:9" x14ac:dyDescent="0.3">
      <c r="B462" s="77">
        <v>45588</v>
      </c>
      <c r="C462">
        <v>24435.5</v>
      </c>
      <c r="I462" s="77"/>
    </row>
    <row r="463" spans="2:9" x14ac:dyDescent="0.3">
      <c r="B463" s="77">
        <v>45587</v>
      </c>
      <c r="C463">
        <v>24472.1</v>
      </c>
      <c r="I463" s="77"/>
    </row>
    <row r="464" spans="2:9" x14ac:dyDescent="0.3">
      <c r="B464" s="77">
        <v>45586</v>
      </c>
      <c r="C464">
        <v>24781.1</v>
      </c>
      <c r="I464" s="77"/>
    </row>
    <row r="465" spans="2:9" x14ac:dyDescent="0.3">
      <c r="B465" s="77">
        <v>45583</v>
      </c>
      <c r="C465">
        <v>24854.05</v>
      </c>
      <c r="I465" s="77"/>
    </row>
    <row r="466" spans="2:9" x14ac:dyDescent="0.3">
      <c r="B466" s="77">
        <v>45582</v>
      </c>
      <c r="C466">
        <v>24749.85</v>
      </c>
      <c r="I466" s="77"/>
    </row>
    <row r="467" spans="2:9" x14ac:dyDescent="0.3">
      <c r="B467" s="77">
        <v>45581</v>
      </c>
      <c r="C467">
        <v>24971.3</v>
      </c>
      <c r="I467" s="77"/>
    </row>
    <row r="468" spans="2:9" x14ac:dyDescent="0.3">
      <c r="B468" s="77">
        <v>45580</v>
      </c>
      <c r="C468">
        <v>25057.35</v>
      </c>
      <c r="I468" s="77"/>
    </row>
    <row r="469" spans="2:9" x14ac:dyDescent="0.3">
      <c r="B469" s="77">
        <v>45579</v>
      </c>
      <c r="C469">
        <v>25127.95</v>
      </c>
      <c r="I469" s="77"/>
    </row>
    <row r="470" spans="2:9" x14ac:dyDescent="0.3">
      <c r="B470" s="77">
        <v>45576</v>
      </c>
      <c r="C470">
        <v>24964.25</v>
      </c>
      <c r="I470" s="77"/>
    </row>
    <row r="471" spans="2:9" x14ac:dyDescent="0.3">
      <c r="B471" s="77">
        <v>45575</v>
      </c>
      <c r="C471">
        <v>24998.45</v>
      </c>
      <c r="I471" s="77"/>
    </row>
    <row r="472" spans="2:9" x14ac:dyDescent="0.3">
      <c r="B472" s="77">
        <v>45574</v>
      </c>
      <c r="C472">
        <v>24981.95</v>
      </c>
      <c r="I472" s="77"/>
    </row>
    <row r="473" spans="2:9" x14ac:dyDescent="0.3">
      <c r="B473" s="77">
        <v>45573</v>
      </c>
      <c r="C473">
        <v>25013.15</v>
      </c>
      <c r="I473" s="77"/>
    </row>
    <row r="474" spans="2:9" x14ac:dyDescent="0.3">
      <c r="B474" s="77">
        <v>45572</v>
      </c>
      <c r="C474">
        <v>24795.75</v>
      </c>
      <c r="I474" s="77"/>
    </row>
    <row r="475" spans="2:9" x14ac:dyDescent="0.3">
      <c r="B475" s="77">
        <v>45569</v>
      </c>
      <c r="C475">
        <v>25014.6</v>
      </c>
      <c r="I475" s="77"/>
    </row>
    <row r="476" spans="2:9" x14ac:dyDescent="0.3">
      <c r="B476" s="77">
        <v>45568</v>
      </c>
      <c r="C476">
        <v>25250.1</v>
      </c>
      <c r="I476" s="77"/>
    </row>
    <row r="477" spans="2:9" x14ac:dyDescent="0.3">
      <c r="B477" s="77">
        <v>45566</v>
      </c>
      <c r="C477">
        <v>25796.9</v>
      </c>
      <c r="I477" s="77"/>
    </row>
    <row r="478" spans="2:9" x14ac:dyDescent="0.3">
      <c r="B478" s="77">
        <v>45565</v>
      </c>
      <c r="C478">
        <v>25810.85</v>
      </c>
      <c r="I478" s="77"/>
    </row>
    <row r="479" spans="2:9" x14ac:dyDescent="0.3">
      <c r="B479" s="77">
        <v>45562</v>
      </c>
      <c r="C479">
        <v>26178.95</v>
      </c>
      <c r="I479" s="77"/>
    </row>
    <row r="480" spans="2:9" x14ac:dyDescent="0.3">
      <c r="B480" s="77">
        <v>45561</v>
      </c>
      <c r="C480">
        <v>26216.05</v>
      </c>
      <c r="I480" s="77"/>
    </row>
    <row r="481" spans="2:9" x14ac:dyDescent="0.3">
      <c r="B481" s="77">
        <v>45560</v>
      </c>
      <c r="C481">
        <v>26004.15</v>
      </c>
      <c r="I481" s="77"/>
    </row>
    <row r="482" spans="2:9" x14ac:dyDescent="0.3">
      <c r="B482" s="77">
        <v>45559</v>
      </c>
      <c r="C482">
        <v>25940.400000000001</v>
      </c>
      <c r="I482" s="77"/>
    </row>
    <row r="483" spans="2:9" x14ac:dyDescent="0.3">
      <c r="B483" s="77">
        <v>45558</v>
      </c>
      <c r="C483">
        <v>25939.05</v>
      </c>
      <c r="I483" s="77"/>
    </row>
    <row r="484" spans="2:9" x14ac:dyDescent="0.3">
      <c r="B484" s="77">
        <v>45555</v>
      </c>
      <c r="C484">
        <v>25790.95</v>
      </c>
      <c r="I484" s="77"/>
    </row>
    <row r="485" spans="2:9" x14ac:dyDescent="0.3">
      <c r="B485" s="77">
        <v>45554</v>
      </c>
      <c r="C485">
        <v>25415.8</v>
      </c>
      <c r="I485" s="77"/>
    </row>
    <row r="486" spans="2:9" x14ac:dyDescent="0.3">
      <c r="B486" s="77">
        <v>45553</v>
      </c>
      <c r="C486">
        <v>25377.55</v>
      </c>
      <c r="I486" s="77"/>
    </row>
    <row r="487" spans="2:9" x14ac:dyDescent="0.3">
      <c r="B487" s="77">
        <v>45552</v>
      </c>
      <c r="C487">
        <v>25418.55</v>
      </c>
      <c r="I487" s="77"/>
    </row>
    <row r="488" spans="2:9" x14ac:dyDescent="0.3">
      <c r="B488" s="77">
        <v>45551</v>
      </c>
      <c r="C488">
        <v>25383.75</v>
      </c>
      <c r="I488" s="77"/>
    </row>
    <row r="489" spans="2:9" x14ac:dyDescent="0.3">
      <c r="B489" s="77">
        <v>45548</v>
      </c>
      <c r="C489">
        <v>25356.5</v>
      </c>
      <c r="I489" s="77"/>
    </row>
    <row r="490" spans="2:9" x14ac:dyDescent="0.3">
      <c r="B490" s="77">
        <v>45547</v>
      </c>
      <c r="C490">
        <v>25388.9</v>
      </c>
      <c r="I490" s="77"/>
    </row>
    <row r="491" spans="2:9" x14ac:dyDescent="0.3">
      <c r="B491" s="77">
        <v>45546</v>
      </c>
      <c r="C491">
        <v>24918.45</v>
      </c>
      <c r="I491" s="77"/>
    </row>
    <row r="492" spans="2:9" x14ac:dyDescent="0.3">
      <c r="B492" s="77">
        <v>45545</v>
      </c>
      <c r="C492">
        <v>25041.1</v>
      </c>
      <c r="I492" s="77"/>
    </row>
    <row r="493" spans="2:9" x14ac:dyDescent="0.3">
      <c r="B493" s="77">
        <v>45544</v>
      </c>
      <c r="C493">
        <v>24936.400000000001</v>
      </c>
      <c r="I493" s="77"/>
    </row>
    <row r="494" spans="2:9" x14ac:dyDescent="0.3">
      <c r="B494" s="77">
        <v>45541</v>
      </c>
      <c r="C494">
        <v>24852.15</v>
      </c>
      <c r="I494" s="77"/>
    </row>
    <row r="495" spans="2:9" x14ac:dyDescent="0.3">
      <c r="B495" s="77">
        <v>45540</v>
      </c>
      <c r="C495">
        <v>25145.1</v>
      </c>
      <c r="I495" s="77"/>
    </row>
    <row r="496" spans="2:9" x14ac:dyDescent="0.3">
      <c r="B496" s="77">
        <v>45539</v>
      </c>
      <c r="C496">
        <v>25198.7</v>
      </c>
      <c r="I496" s="77"/>
    </row>
    <row r="497" spans="2:9" x14ac:dyDescent="0.3">
      <c r="B497" s="77">
        <v>45538</v>
      </c>
      <c r="C497">
        <v>25279.85</v>
      </c>
      <c r="I497" s="77"/>
    </row>
    <row r="498" spans="2:9" x14ac:dyDescent="0.3">
      <c r="B498" s="77">
        <v>45537</v>
      </c>
      <c r="C498">
        <v>25278.7</v>
      </c>
      <c r="I498" s="77"/>
    </row>
    <row r="499" spans="2:9" x14ac:dyDescent="0.3">
      <c r="B499" s="77">
        <v>45534</v>
      </c>
      <c r="C499">
        <v>25235.9</v>
      </c>
      <c r="I499" s="77"/>
    </row>
    <row r="500" spans="2:9" x14ac:dyDescent="0.3">
      <c r="B500" s="77">
        <v>45533</v>
      </c>
      <c r="C500">
        <v>25151.95</v>
      </c>
      <c r="I500" s="77"/>
    </row>
    <row r="501" spans="2:9" x14ac:dyDescent="0.3">
      <c r="B501" s="77">
        <v>45532</v>
      </c>
      <c r="C501">
        <v>25052.35</v>
      </c>
      <c r="I501" s="77"/>
    </row>
    <row r="502" spans="2:9" x14ac:dyDescent="0.3">
      <c r="B502" s="77">
        <v>45531</v>
      </c>
      <c r="C502">
        <v>25017.75</v>
      </c>
      <c r="I502" s="77"/>
    </row>
    <row r="503" spans="2:9" x14ac:dyDescent="0.3">
      <c r="B503" s="77">
        <v>45530</v>
      </c>
      <c r="C503">
        <v>25010.6</v>
      </c>
      <c r="I503" s="77"/>
    </row>
    <row r="504" spans="2:9" x14ac:dyDescent="0.3">
      <c r="B504" s="77">
        <v>45527</v>
      </c>
      <c r="C504">
        <v>24823.15</v>
      </c>
      <c r="I504" s="77"/>
    </row>
    <row r="505" spans="2:9" x14ac:dyDescent="0.3">
      <c r="B505" s="77">
        <v>45526</v>
      </c>
      <c r="C505">
        <v>24811.5</v>
      </c>
      <c r="I505" s="77"/>
    </row>
    <row r="506" spans="2:9" x14ac:dyDescent="0.3">
      <c r="B506" s="77">
        <v>45525</v>
      </c>
      <c r="C506">
        <v>24770.2</v>
      </c>
      <c r="I506" s="77"/>
    </row>
    <row r="507" spans="2:9" x14ac:dyDescent="0.3">
      <c r="B507" s="77">
        <v>45524</v>
      </c>
      <c r="C507">
        <v>24698.85</v>
      </c>
      <c r="I507" s="77"/>
    </row>
    <row r="508" spans="2:9" x14ac:dyDescent="0.3">
      <c r="B508" s="77">
        <v>45523</v>
      </c>
      <c r="C508">
        <v>24572.65</v>
      </c>
      <c r="I508" s="77"/>
    </row>
    <row r="509" spans="2:9" x14ac:dyDescent="0.3">
      <c r="B509" s="77">
        <v>45520</v>
      </c>
      <c r="C509">
        <v>24541.15</v>
      </c>
      <c r="I509" s="77"/>
    </row>
    <row r="510" spans="2:9" x14ac:dyDescent="0.3">
      <c r="B510" s="77">
        <v>45518</v>
      </c>
      <c r="C510">
        <v>24143.75</v>
      </c>
      <c r="I510" s="77"/>
    </row>
    <row r="511" spans="2:9" x14ac:dyDescent="0.3">
      <c r="B511" s="77">
        <v>45517</v>
      </c>
      <c r="C511">
        <v>24139</v>
      </c>
      <c r="I511" s="77"/>
    </row>
    <row r="512" spans="2:9" x14ac:dyDescent="0.3">
      <c r="B512" s="77">
        <v>45516</v>
      </c>
      <c r="C512">
        <v>24347</v>
      </c>
      <c r="I512" s="77"/>
    </row>
    <row r="513" spans="2:9" x14ac:dyDescent="0.3">
      <c r="B513" s="77">
        <v>45513</v>
      </c>
      <c r="C513">
        <v>24367.5</v>
      </c>
      <c r="I513" s="77"/>
    </row>
    <row r="514" spans="2:9" x14ac:dyDescent="0.3">
      <c r="B514" s="77">
        <v>45512</v>
      </c>
      <c r="C514">
        <v>24117</v>
      </c>
      <c r="I514" s="77"/>
    </row>
    <row r="515" spans="2:9" x14ac:dyDescent="0.3">
      <c r="B515" s="77">
        <v>45510</v>
      </c>
      <c r="C515">
        <v>23992.55</v>
      </c>
      <c r="I515" s="77"/>
    </row>
    <row r="516" spans="2:9" x14ac:dyDescent="0.3">
      <c r="B516" s="77">
        <v>45509</v>
      </c>
      <c r="C516">
        <v>24055.599999999999</v>
      </c>
      <c r="I516" s="77"/>
    </row>
    <row r="517" spans="2:9" x14ac:dyDescent="0.3">
      <c r="B517" s="77">
        <v>45506</v>
      </c>
      <c r="C517">
        <v>24717.7</v>
      </c>
      <c r="I517" s="77"/>
    </row>
    <row r="518" spans="2:9" x14ac:dyDescent="0.3">
      <c r="B518" s="77">
        <v>45505</v>
      </c>
      <c r="C518">
        <v>25010.9</v>
      </c>
      <c r="I518" s="77"/>
    </row>
    <row r="519" spans="2:9" x14ac:dyDescent="0.3">
      <c r="B519" s="77">
        <v>45504</v>
      </c>
      <c r="C519">
        <v>24951.15</v>
      </c>
      <c r="I519" s="77"/>
    </row>
    <row r="520" spans="2:9" x14ac:dyDescent="0.3">
      <c r="B520" s="77">
        <v>45503</v>
      </c>
      <c r="C520">
        <v>24857.3</v>
      </c>
      <c r="I520" s="77"/>
    </row>
    <row r="521" spans="2:9" x14ac:dyDescent="0.3">
      <c r="B521" s="77">
        <v>45502</v>
      </c>
      <c r="C521">
        <v>24836.1</v>
      </c>
      <c r="I521" s="77"/>
    </row>
    <row r="522" spans="2:9" x14ac:dyDescent="0.3">
      <c r="B522" s="77">
        <v>45499</v>
      </c>
      <c r="C522">
        <v>24834.85</v>
      </c>
      <c r="I522" s="77"/>
    </row>
    <row r="523" spans="2:9" x14ac:dyDescent="0.3">
      <c r="B523" s="77">
        <v>45498</v>
      </c>
      <c r="C523">
        <v>24406.1</v>
      </c>
      <c r="I523" s="77"/>
    </row>
    <row r="524" spans="2:9" x14ac:dyDescent="0.3">
      <c r="B524" s="77">
        <v>45497</v>
      </c>
      <c r="C524">
        <v>24413.5</v>
      </c>
      <c r="I524" s="77"/>
    </row>
    <row r="525" spans="2:9" x14ac:dyDescent="0.3">
      <c r="B525" s="77">
        <v>45496</v>
      </c>
      <c r="C525">
        <v>24479.05</v>
      </c>
      <c r="I525" s="77"/>
    </row>
    <row r="526" spans="2:9" x14ac:dyDescent="0.3">
      <c r="B526" s="77">
        <v>45495</v>
      </c>
      <c r="C526">
        <v>24509.25</v>
      </c>
      <c r="I526" s="77"/>
    </row>
    <row r="527" spans="2:9" x14ac:dyDescent="0.3">
      <c r="B527" s="77">
        <v>45492</v>
      </c>
      <c r="C527">
        <v>24530.9</v>
      </c>
      <c r="I527" s="77"/>
    </row>
    <row r="528" spans="2:9" x14ac:dyDescent="0.3">
      <c r="B528" s="77">
        <v>45491</v>
      </c>
      <c r="C528">
        <v>24800.85</v>
      </c>
      <c r="I528" s="77"/>
    </row>
    <row r="529" spans="2:9" x14ac:dyDescent="0.3">
      <c r="B529" s="77">
        <v>45489</v>
      </c>
      <c r="C529">
        <v>24613</v>
      </c>
      <c r="I529" s="77"/>
    </row>
    <row r="530" spans="2:9" x14ac:dyDescent="0.3">
      <c r="B530" s="77">
        <v>45488</v>
      </c>
      <c r="C530">
        <v>24586.7</v>
      </c>
      <c r="I530" s="77"/>
    </row>
    <row r="531" spans="2:9" x14ac:dyDescent="0.3">
      <c r="B531" s="77">
        <v>45485</v>
      </c>
      <c r="C531">
        <v>24502.15</v>
      </c>
      <c r="I531" s="77"/>
    </row>
    <row r="532" spans="2:9" x14ac:dyDescent="0.3">
      <c r="B532" s="77">
        <v>45484</v>
      </c>
      <c r="C532">
        <v>24315.95</v>
      </c>
      <c r="I532" s="77"/>
    </row>
    <row r="533" spans="2:9" x14ac:dyDescent="0.3">
      <c r="B533" s="77">
        <v>45483</v>
      </c>
      <c r="C533">
        <v>24324.45</v>
      </c>
      <c r="I533" s="77"/>
    </row>
    <row r="534" spans="2:9" x14ac:dyDescent="0.3">
      <c r="B534" s="77">
        <v>45482</v>
      </c>
      <c r="C534">
        <v>24433.200000000001</v>
      </c>
      <c r="I534" s="77"/>
    </row>
    <row r="535" spans="2:9" x14ac:dyDescent="0.3">
      <c r="B535" s="77">
        <v>45481</v>
      </c>
      <c r="C535">
        <v>24320.55</v>
      </c>
      <c r="I535" s="77"/>
    </row>
    <row r="536" spans="2:9" x14ac:dyDescent="0.3">
      <c r="B536" s="77">
        <v>45478</v>
      </c>
      <c r="C536">
        <v>24323.85</v>
      </c>
      <c r="I536" s="77"/>
    </row>
    <row r="537" spans="2:9" x14ac:dyDescent="0.3">
      <c r="B537" s="77">
        <v>45477</v>
      </c>
      <c r="C537">
        <v>24302.15</v>
      </c>
      <c r="I537" s="77"/>
    </row>
    <row r="538" spans="2:9" x14ac:dyDescent="0.3">
      <c r="B538" s="77">
        <v>45476</v>
      </c>
      <c r="C538">
        <v>24286.5</v>
      </c>
      <c r="I538" s="77"/>
    </row>
    <row r="539" spans="2:9" x14ac:dyDescent="0.3">
      <c r="B539" s="77">
        <v>45475</v>
      </c>
      <c r="C539">
        <v>24123.85</v>
      </c>
      <c r="I539" s="77"/>
    </row>
    <row r="540" spans="2:9" x14ac:dyDescent="0.3">
      <c r="B540" s="77">
        <v>45474</v>
      </c>
      <c r="C540">
        <v>24141.95</v>
      </c>
      <c r="I540" s="77"/>
    </row>
    <row r="541" spans="2:9" x14ac:dyDescent="0.3">
      <c r="B541" s="77">
        <v>45471</v>
      </c>
      <c r="C541">
        <v>24010.6</v>
      </c>
      <c r="I541" s="77"/>
    </row>
    <row r="542" spans="2:9" x14ac:dyDescent="0.3">
      <c r="B542" s="77">
        <v>45470</v>
      </c>
      <c r="C542">
        <v>24044.5</v>
      </c>
      <c r="I542" s="77"/>
    </row>
    <row r="543" spans="2:9" x14ac:dyDescent="0.3">
      <c r="B543" s="77">
        <v>45469</v>
      </c>
      <c r="C543">
        <v>23868.799999999999</v>
      </c>
      <c r="I543" s="77"/>
    </row>
    <row r="544" spans="2:9" x14ac:dyDescent="0.3">
      <c r="B544" s="77">
        <v>45468</v>
      </c>
      <c r="C544">
        <v>23721.3</v>
      </c>
      <c r="I544" s="77"/>
    </row>
    <row r="545" spans="2:9" x14ac:dyDescent="0.3">
      <c r="B545" s="77">
        <v>45467</v>
      </c>
      <c r="C545">
        <v>23537.85</v>
      </c>
      <c r="I545" s="77"/>
    </row>
    <row r="546" spans="2:9" x14ac:dyDescent="0.3">
      <c r="B546" s="77">
        <v>45464</v>
      </c>
      <c r="C546">
        <v>23501.1</v>
      </c>
      <c r="I546" s="77"/>
    </row>
    <row r="547" spans="2:9" x14ac:dyDescent="0.3">
      <c r="B547" s="77">
        <v>45463</v>
      </c>
      <c r="C547">
        <v>23567</v>
      </c>
      <c r="I547" s="77"/>
    </row>
    <row r="548" spans="2:9" x14ac:dyDescent="0.3">
      <c r="B548" s="77">
        <v>45462</v>
      </c>
      <c r="C548">
        <v>23516</v>
      </c>
      <c r="I548" s="77"/>
    </row>
    <row r="549" spans="2:9" x14ac:dyDescent="0.3">
      <c r="B549" s="77">
        <v>45461</v>
      </c>
      <c r="C549">
        <v>23557.9</v>
      </c>
      <c r="I549" s="77"/>
    </row>
    <row r="550" spans="2:9" x14ac:dyDescent="0.3">
      <c r="B550" s="77">
        <v>45457</v>
      </c>
      <c r="C550">
        <v>23465.599999999999</v>
      </c>
      <c r="I550" s="77"/>
    </row>
    <row r="551" spans="2:9" x14ac:dyDescent="0.3">
      <c r="B551" s="77">
        <v>45456</v>
      </c>
      <c r="C551">
        <v>23398.9</v>
      </c>
      <c r="I551" s="77"/>
    </row>
    <row r="552" spans="2:9" x14ac:dyDescent="0.3">
      <c r="B552" s="77">
        <v>45455</v>
      </c>
      <c r="C552">
        <v>23322.95</v>
      </c>
      <c r="I552" s="77"/>
    </row>
    <row r="553" spans="2:9" x14ac:dyDescent="0.3">
      <c r="B553" s="77">
        <v>45454</v>
      </c>
      <c r="C553">
        <v>23264.85</v>
      </c>
      <c r="I553" s="77"/>
    </row>
    <row r="554" spans="2:9" x14ac:dyDescent="0.3">
      <c r="B554" s="77">
        <v>45453</v>
      </c>
      <c r="C554">
        <v>23259.200000000001</v>
      </c>
      <c r="I554" s="77"/>
    </row>
    <row r="555" spans="2:9" x14ac:dyDescent="0.3">
      <c r="B555" s="77">
        <v>45450</v>
      </c>
      <c r="C555">
        <v>23290.15</v>
      </c>
      <c r="I555" s="77"/>
    </row>
    <row r="556" spans="2:9" x14ac:dyDescent="0.3">
      <c r="B556" s="77">
        <v>45449</v>
      </c>
      <c r="C556">
        <v>22821.4</v>
      </c>
      <c r="I556" s="77"/>
    </row>
    <row r="557" spans="2:9" x14ac:dyDescent="0.3">
      <c r="B557" s="77">
        <v>45448</v>
      </c>
      <c r="C557">
        <v>22620.35</v>
      </c>
      <c r="I557" s="77"/>
    </row>
    <row r="558" spans="2:9" x14ac:dyDescent="0.3">
      <c r="B558" s="77">
        <v>45447</v>
      </c>
      <c r="C558">
        <v>21884.5</v>
      </c>
      <c r="I558" s="77"/>
    </row>
    <row r="559" spans="2:9" x14ac:dyDescent="0.3">
      <c r="B559" s="77">
        <v>45446</v>
      </c>
      <c r="C559">
        <v>23263.9</v>
      </c>
      <c r="I559" s="77"/>
    </row>
    <row r="560" spans="2:9" x14ac:dyDescent="0.3">
      <c r="B560" s="77">
        <v>45443</v>
      </c>
      <c r="C560">
        <v>22530.7</v>
      </c>
      <c r="I560" s="77"/>
    </row>
    <row r="561" spans="2:9" x14ac:dyDescent="0.3">
      <c r="B561" s="77">
        <v>45442</v>
      </c>
      <c r="C561">
        <v>22488.65</v>
      </c>
      <c r="I561" s="77"/>
    </row>
    <row r="562" spans="2:9" x14ac:dyDescent="0.3">
      <c r="B562" s="77">
        <v>45441</v>
      </c>
      <c r="C562">
        <v>22704.7</v>
      </c>
      <c r="I562" s="77"/>
    </row>
    <row r="563" spans="2:9" x14ac:dyDescent="0.3">
      <c r="B563" s="77">
        <v>45440</v>
      </c>
      <c r="C563">
        <v>22888.15</v>
      </c>
      <c r="I563" s="77"/>
    </row>
    <row r="564" spans="2:9" x14ac:dyDescent="0.3">
      <c r="B564" s="77">
        <v>45439</v>
      </c>
      <c r="C564">
        <v>22932.45</v>
      </c>
      <c r="I564" s="77"/>
    </row>
    <row r="565" spans="2:9" x14ac:dyDescent="0.3">
      <c r="B565" s="77">
        <v>45436</v>
      </c>
      <c r="C565">
        <v>22957.1</v>
      </c>
      <c r="I565" s="77"/>
    </row>
    <row r="566" spans="2:9" x14ac:dyDescent="0.3">
      <c r="B566" s="77">
        <v>45435</v>
      </c>
      <c r="C566">
        <v>22967.65</v>
      </c>
      <c r="I566" s="77"/>
    </row>
    <row r="567" spans="2:9" x14ac:dyDescent="0.3">
      <c r="B567" s="77">
        <v>45434</v>
      </c>
      <c r="C567">
        <v>22597.8</v>
      </c>
      <c r="I567" s="77"/>
    </row>
    <row r="568" spans="2:9" x14ac:dyDescent="0.3">
      <c r="B568" s="77">
        <v>45433</v>
      </c>
      <c r="C568">
        <v>22529.05</v>
      </c>
      <c r="I568" s="77"/>
    </row>
    <row r="569" spans="2:9" x14ac:dyDescent="0.3">
      <c r="B569" s="77">
        <v>45430</v>
      </c>
      <c r="C569">
        <v>22502</v>
      </c>
      <c r="I569" s="77"/>
    </row>
    <row r="570" spans="2:9" x14ac:dyDescent="0.3">
      <c r="B570" s="77">
        <v>45429</v>
      </c>
      <c r="C570">
        <v>22466.1</v>
      </c>
      <c r="I570" s="77"/>
    </row>
    <row r="571" spans="2:9" x14ac:dyDescent="0.3">
      <c r="B571" s="77">
        <v>45428</v>
      </c>
      <c r="C571">
        <v>22403.85</v>
      </c>
      <c r="I571" s="77"/>
    </row>
    <row r="572" spans="2:9" x14ac:dyDescent="0.3">
      <c r="B572" s="77">
        <v>45427</v>
      </c>
      <c r="C572">
        <v>22200.55</v>
      </c>
      <c r="I572" s="77"/>
    </row>
    <row r="573" spans="2:9" x14ac:dyDescent="0.3">
      <c r="B573" s="77">
        <v>45426</v>
      </c>
      <c r="C573">
        <v>22217.85</v>
      </c>
      <c r="I573" s="77"/>
    </row>
    <row r="574" spans="2:9" x14ac:dyDescent="0.3">
      <c r="B574" s="77">
        <v>45425</v>
      </c>
      <c r="C574">
        <v>22104.05</v>
      </c>
      <c r="I574" s="77"/>
    </row>
    <row r="575" spans="2:9" x14ac:dyDescent="0.3">
      <c r="B575" s="77">
        <v>45422</v>
      </c>
      <c r="C575">
        <v>22055.200000000001</v>
      </c>
      <c r="I575" s="77"/>
    </row>
    <row r="576" spans="2:9" x14ac:dyDescent="0.3">
      <c r="B576" s="77">
        <v>45421</v>
      </c>
      <c r="C576">
        <v>21957.5</v>
      </c>
      <c r="I576" s="77"/>
    </row>
    <row r="577" spans="2:9" x14ac:dyDescent="0.3">
      <c r="B577" s="77">
        <v>45420</v>
      </c>
      <c r="C577">
        <v>22302.5</v>
      </c>
      <c r="I577" s="77"/>
    </row>
    <row r="578" spans="2:9" x14ac:dyDescent="0.3">
      <c r="B578" s="77">
        <v>45419</v>
      </c>
      <c r="C578">
        <v>22302.5</v>
      </c>
      <c r="I578" s="77"/>
    </row>
    <row r="579" spans="2:9" x14ac:dyDescent="0.3">
      <c r="B579" s="77">
        <v>45418</v>
      </c>
      <c r="C579">
        <v>22442.7</v>
      </c>
      <c r="I579" s="77"/>
    </row>
    <row r="580" spans="2:9" x14ac:dyDescent="0.3">
      <c r="B580" s="77">
        <v>45415</v>
      </c>
      <c r="C580">
        <v>22475.85</v>
      </c>
      <c r="I580" s="77"/>
    </row>
    <row r="581" spans="2:9" x14ac:dyDescent="0.3">
      <c r="B581" s="77">
        <v>45414</v>
      </c>
      <c r="C581">
        <v>22648.2</v>
      </c>
      <c r="I581" s="77"/>
    </row>
    <row r="582" spans="2:9" x14ac:dyDescent="0.3">
      <c r="B582" s="77">
        <v>45412</v>
      </c>
      <c r="C582">
        <v>22604.85</v>
      </c>
      <c r="I582" s="77"/>
    </row>
    <row r="583" spans="2:9" x14ac:dyDescent="0.3">
      <c r="B583" s="77">
        <v>45411</v>
      </c>
      <c r="C583">
        <v>22643.4</v>
      </c>
      <c r="I583" s="77"/>
    </row>
    <row r="584" spans="2:9" x14ac:dyDescent="0.3">
      <c r="B584" s="77">
        <v>45408</v>
      </c>
      <c r="C584">
        <v>22419.95</v>
      </c>
      <c r="I584" s="77"/>
    </row>
    <row r="585" spans="2:9" x14ac:dyDescent="0.3">
      <c r="B585" s="77">
        <v>45407</v>
      </c>
      <c r="C585">
        <v>22570.35</v>
      </c>
      <c r="I585" s="77"/>
    </row>
    <row r="586" spans="2:9" x14ac:dyDescent="0.3">
      <c r="B586" s="77">
        <v>45406</v>
      </c>
      <c r="C586">
        <v>22402.400000000001</v>
      </c>
      <c r="I586" s="77"/>
    </row>
    <row r="587" spans="2:9" x14ac:dyDescent="0.3">
      <c r="B587" s="77">
        <v>45405</v>
      </c>
      <c r="C587">
        <v>22368</v>
      </c>
      <c r="I587" s="77"/>
    </row>
    <row r="588" spans="2:9" x14ac:dyDescent="0.3">
      <c r="B588" s="77">
        <v>45404</v>
      </c>
      <c r="C588">
        <v>22336.400000000001</v>
      </c>
      <c r="I588" s="77"/>
    </row>
    <row r="589" spans="2:9" x14ac:dyDescent="0.3">
      <c r="B589" s="77">
        <v>45401</v>
      </c>
      <c r="C589">
        <v>22147</v>
      </c>
      <c r="I589" s="77"/>
    </row>
    <row r="590" spans="2:9" x14ac:dyDescent="0.3">
      <c r="B590" s="77">
        <v>45400</v>
      </c>
      <c r="C590">
        <v>21995.85</v>
      </c>
      <c r="I590" s="77"/>
    </row>
    <row r="591" spans="2:9" x14ac:dyDescent="0.3">
      <c r="B591" s="77">
        <v>45398</v>
      </c>
      <c r="C591">
        <v>22147.9</v>
      </c>
      <c r="I591" s="77"/>
    </row>
    <row r="592" spans="2:9" x14ac:dyDescent="0.3">
      <c r="B592" s="77">
        <v>45397</v>
      </c>
      <c r="C592">
        <v>22272.5</v>
      </c>
      <c r="I592" s="77"/>
    </row>
    <row r="593" spans="2:9" x14ac:dyDescent="0.3">
      <c r="B593" s="77">
        <v>45394</v>
      </c>
      <c r="C593">
        <v>22519.4</v>
      </c>
      <c r="I593" s="77"/>
    </row>
    <row r="594" spans="2:9" x14ac:dyDescent="0.3">
      <c r="B594" s="77">
        <v>45392</v>
      </c>
      <c r="C594">
        <v>22753.8</v>
      </c>
      <c r="I594" s="77"/>
    </row>
    <row r="595" spans="2:9" x14ac:dyDescent="0.3">
      <c r="B595" s="77">
        <v>45391</v>
      </c>
      <c r="C595">
        <v>22642.75</v>
      </c>
      <c r="I595" s="77"/>
    </row>
    <row r="596" spans="2:9" x14ac:dyDescent="0.3">
      <c r="B596" s="77">
        <v>45390</v>
      </c>
      <c r="C596">
        <v>22666.3</v>
      </c>
      <c r="I596" s="77"/>
    </row>
    <row r="597" spans="2:9" x14ac:dyDescent="0.3">
      <c r="B597" s="77">
        <v>45387</v>
      </c>
      <c r="C597">
        <v>22513.7</v>
      </c>
      <c r="I597" s="77"/>
    </row>
    <row r="598" spans="2:9" x14ac:dyDescent="0.3">
      <c r="B598" s="77">
        <v>45386</v>
      </c>
      <c r="C598">
        <v>22514.65</v>
      </c>
      <c r="I598" s="77"/>
    </row>
    <row r="599" spans="2:9" x14ac:dyDescent="0.3">
      <c r="B599" s="77">
        <v>45385</v>
      </c>
      <c r="C599">
        <v>22434.65</v>
      </c>
      <c r="I599" s="77"/>
    </row>
    <row r="600" spans="2:9" x14ac:dyDescent="0.3">
      <c r="B600" s="77">
        <v>45384</v>
      </c>
      <c r="C600">
        <v>22453.3</v>
      </c>
      <c r="I600" s="77"/>
    </row>
    <row r="601" spans="2:9" x14ac:dyDescent="0.3">
      <c r="B601" s="77">
        <v>45383</v>
      </c>
      <c r="C601">
        <v>22462</v>
      </c>
      <c r="I601" s="77"/>
    </row>
    <row r="602" spans="2:9" x14ac:dyDescent="0.3">
      <c r="B602" s="77">
        <v>45379</v>
      </c>
      <c r="C602">
        <v>22326.9</v>
      </c>
      <c r="I602" s="77"/>
    </row>
    <row r="603" spans="2:9" x14ac:dyDescent="0.3">
      <c r="B603" s="77">
        <v>45378</v>
      </c>
      <c r="C603">
        <v>22123.65</v>
      </c>
      <c r="I603" s="77"/>
    </row>
    <row r="604" spans="2:9" x14ac:dyDescent="0.3">
      <c r="B604" s="77">
        <v>45377</v>
      </c>
      <c r="C604">
        <v>22004.7</v>
      </c>
      <c r="I604" s="77"/>
    </row>
    <row r="605" spans="2:9" x14ac:dyDescent="0.3">
      <c r="B605" s="77">
        <v>45373</v>
      </c>
      <c r="C605">
        <v>22096.75</v>
      </c>
      <c r="I605" s="77"/>
    </row>
    <row r="606" spans="2:9" x14ac:dyDescent="0.3">
      <c r="B606" s="77">
        <v>45372</v>
      </c>
      <c r="C606">
        <v>22011.95</v>
      </c>
      <c r="I606" s="77"/>
    </row>
    <row r="607" spans="2:9" x14ac:dyDescent="0.3">
      <c r="B607" s="77">
        <v>45371</v>
      </c>
      <c r="C607">
        <v>21839.1</v>
      </c>
      <c r="I607" s="77"/>
    </row>
    <row r="608" spans="2:9" x14ac:dyDescent="0.3">
      <c r="B608" s="77">
        <v>45370</v>
      </c>
      <c r="C608">
        <v>21817.45</v>
      </c>
      <c r="I608" s="77"/>
    </row>
    <row r="609" spans="2:9" x14ac:dyDescent="0.3">
      <c r="B609" s="77">
        <v>45369</v>
      </c>
      <c r="C609">
        <v>22055.7</v>
      </c>
      <c r="I609" s="77"/>
    </row>
    <row r="610" spans="2:9" x14ac:dyDescent="0.3">
      <c r="B610" s="77">
        <v>45366</v>
      </c>
      <c r="C610">
        <v>22023.35</v>
      </c>
      <c r="I610" s="77"/>
    </row>
    <row r="611" spans="2:9" x14ac:dyDescent="0.3">
      <c r="B611" s="77">
        <v>45365</v>
      </c>
      <c r="C611">
        <v>22146.65</v>
      </c>
      <c r="I611" s="77"/>
    </row>
    <row r="612" spans="2:9" x14ac:dyDescent="0.3">
      <c r="B612" s="77">
        <v>45364</v>
      </c>
      <c r="C612">
        <v>21997.7</v>
      </c>
      <c r="I612" s="77"/>
    </row>
    <row r="613" spans="2:9" x14ac:dyDescent="0.3">
      <c r="B613" s="77">
        <v>45363</v>
      </c>
      <c r="C613">
        <v>22335.7</v>
      </c>
      <c r="I613" s="77"/>
    </row>
    <row r="614" spans="2:9" x14ac:dyDescent="0.3">
      <c r="B614" s="77">
        <v>45362</v>
      </c>
      <c r="C614">
        <v>22332.65</v>
      </c>
      <c r="I614" s="77"/>
    </row>
    <row r="615" spans="2:9" x14ac:dyDescent="0.3">
      <c r="B615" s="77">
        <v>45358</v>
      </c>
      <c r="C615">
        <v>22493.55</v>
      </c>
      <c r="I615" s="77"/>
    </row>
    <row r="616" spans="2:9" x14ac:dyDescent="0.3">
      <c r="B616" s="77">
        <v>45357</v>
      </c>
      <c r="C616">
        <v>22474.05</v>
      </c>
      <c r="I616" s="77"/>
    </row>
    <row r="617" spans="2:9" x14ac:dyDescent="0.3">
      <c r="B617" s="77">
        <v>45356</v>
      </c>
      <c r="C617">
        <v>22356.3</v>
      </c>
      <c r="I617" s="77"/>
    </row>
    <row r="618" spans="2:9" x14ac:dyDescent="0.3">
      <c r="B618" s="77">
        <v>45355</v>
      </c>
      <c r="C618">
        <v>22405.599999999999</v>
      </c>
      <c r="I618" s="77"/>
    </row>
    <row r="619" spans="2:9" x14ac:dyDescent="0.3">
      <c r="B619" s="77">
        <v>45353</v>
      </c>
      <c r="C619">
        <v>22378.400000000001</v>
      </c>
      <c r="I619" s="77"/>
    </row>
    <row r="620" spans="2:9" x14ac:dyDescent="0.3">
      <c r="B620" s="77">
        <v>45352</v>
      </c>
      <c r="C620">
        <v>22338.75</v>
      </c>
      <c r="I620" s="77"/>
    </row>
    <row r="621" spans="2:9" x14ac:dyDescent="0.3">
      <c r="B621" s="77">
        <v>45351</v>
      </c>
      <c r="C621">
        <v>21982.799999999999</v>
      </c>
      <c r="I621" s="77"/>
    </row>
    <row r="622" spans="2:9" x14ac:dyDescent="0.3">
      <c r="B622" s="77">
        <v>45350</v>
      </c>
      <c r="C622">
        <v>21951.15</v>
      </c>
      <c r="I622" s="77"/>
    </row>
    <row r="623" spans="2:9" x14ac:dyDescent="0.3">
      <c r="B623" s="77">
        <v>45349</v>
      </c>
      <c r="C623">
        <v>22198.35</v>
      </c>
      <c r="I623" s="77"/>
    </row>
    <row r="624" spans="2:9" x14ac:dyDescent="0.3">
      <c r="B624" s="77">
        <v>45348</v>
      </c>
      <c r="C624">
        <v>22122.05</v>
      </c>
      <c r="I624" s="77"/>
    </row>
    <row r="625" spans="2:9" x14ac:dyDescent="0.3">
      <c r="B625" s="77">
        <v>45345</v>
      </c>
      <c r="C625">
        <v>22212.7</v>
      </c>
      <c r="I625" s="77"/>
    </row>
    <row r="626" spans="2:9" x14ac:dyDescent="0.3">
      <c r="B626" s="77">
        <v>45344</v>
      </c>
      <c r="C626">
        <v>22217.45</v>
      </c>
      <c r="I626" s="77"/>
    </row>
    <row r="627" spans="2:9" x14ac:dyDescent="0.3">
      <c r="B627" s="77">
        <v>45343</v>
      </c>
      <c r="C627">
        <v>22055.05</v>
      </c>
      <c r="I627" s="77"/>
    </row>
    <row r="628" spans="2:9" x14ac:dyDescent="0.3">
      <c r="B628" s="77">
        <v>45342</v>
      </c>
      <c r="C628">
        <v>22196.95</v>
      </c>
      <c r="I628" s="77"/>
    </row>
    <row r="629" spans="2:9" x14ac:dyDescent="0.3">
      <c r="B629" s="77">
        <v>45341</v>
      </c>
      <c r="C629">
        <v>22122.25</v>
      </c>
      <c r="I629" s="77"/>
    </row>
    <row r="630" spans="2:9" x14ac:dyDescent="0.3">
      <c r="B630" s="77">
        <v>45338</v>
      </c>
      <c r="C630">
        <v>22040.7</v>
      </c>
      <c r="I630" s="77"/>
    </row>
    <row r="631" spans="2:9" x14ac:dyDescent="0.3">
      <c r="B631" s="77">
        <v>45337</v>
      </c>
      <c r="C631">
        <v>21910.75</v>
      </c>
      <c r="I631" s="77"/>
    </row>
    <row r="632" spans="2:9" x14ac:dyDescent="0.3">
      <c r="B632" s="77">
        <v>45336</v>
      </c>
      <c r="C632">
        <v>21840.05</v>
      </c>
      <c r="I632" s="77"/>
    </row>
    <row r="633" spans="2:9" x14ac:dyDescent="0.3">
      <c r="B633" s="77">
        <v>45335</v>
      </c>
      <c r="C633">
        <v>21743.25</v>
      </c>
      <c r="I633" s="77"/>
    </row>
    <row r="634" spans="2:9" x14ac:dyDescent="0.3">
      <c r="B634" s="77">
        <v>45334</v>
      </c>
      <c r="C634">
        <v>21616.05</v>
      </c>
      <c r="I634" s="77"/>
    </row>
    <row r="635" spans="2:9" x14ac:dyDescent="0.3">
      <c r="B635" s="77">
        <v>45331</v>
      </c>
      <c r="C635">
        <v>21782.5</v>
      </c>
      <c r="I635" s="77"/>
    </row>
    <row r="636" spans="2:9" x14ac:dyDescent="0.3">
      <c r="B636" s="77">
        <v>45330</v>
      </c>
      <c r="C636">
        <v>21717.95</v>
      </c>
      <c r="I636" s="77"/>
    </row>
    <row r="637" spans="2:9" x14ac:dyDescent="0.3">
      <c r="B637" s="77">
        <v>45329</v>
      </c>
      <c r="C637">
        <v>21930.5</v>
      </c>
      <c r="I637" s="77"/>
    </row>
    <row r="638" spans="2:9" x14ac:dyDescent="0.3">
      <c r="B638" s="77">
        <v>45328</v>
      </c>
      <c r="C638">
        <v>21929.4</v>
      </c>
      <c r="I638" s="77"/>
    </row>
    <row r="639" spans="2:9" x14ac:dyDescent="0.3">
      <c r="B639" s="77">
        <v>45327</v>
      </c>
      <c r="C639">
        <v>21771.7</v>
      </c>
      <c r="I639" s="77"/>
    </row>
    <row r="640" spans="2:9" x14ac:dyDescent="0.3">
      <c r="B640" s="77">
        <v>45324</v>
      </c>
      <c r="C640">
        <v>21853.8</v>
      </c>
      <c r="I640" s="77"/>
    </row>
    <row r="641" spans="2:9" x14ac:dyDescent="0.3">
      <c r="B641" s="77">
        <v>45323</v>
      </c>
      <c r="C641">
        <v>21697.45</v>
      </c>
      <c r="I641" s="77"/>
    </row>
    <row r="642" spans="2:9" x14ac:dyDescent="0.3">
      <c r="B642" s="77">
        <v>45322</v>
      </c>
      <c r="C642">
        <v>21725.7</v>
      </c>
      <c r="I642" s="77"/>
    </row>
    <row r="643" spans="2:9" x14ac:dyDescent="0.3">
      <c r="B643" s="77">
        <v>45321</v>
      </c>
      <c r="C643">
        <v>21522.1</v>
      </c>
      <c r="I643" s="77"/>
    </row>
    <row r="644" spans="2:9" x14ac:dyDescent="0.3">
      <c r="B644" s="77">
        <v>45320</v>
      </c>
      <c r="C644">
        <v>21737.599999999999</v>
      </c>
      <c r="I644" s="77"/>
    </row>
    <row r="645" spans="2:9" x14ac:dyDescent="0.3">
      <c r="B645" s="77">
        <v>45316</v>
      </c>
      <c r="C645">
        <v>21352.6</v>
      </c>
      <c r="I645" s="77"/>
    </row>
    <row r="646" spans="2:9" x14ac:dyDescent="0.3">
      <c r="B646" s="77">
        <v>45315</v>
      </c>
      <c r="C646">
        <v>21453.95</v>
      </c>
      <c r="I646" s="77"/>
    </row>
    <row r="647" spans="2:9" x14ac:dyDescent="0.3">
      <c r="B647" s="77">
        <v>45314</v>
      </c>
      <c r="C647">
        <v>21238.799999999999</v>
      </c>
      <c r="I647" s="77"/>
    </row>
    <row r="648" spans="2:9" x14ac:dyDescent="0.3">
      <c r="B648" s="77">
        <v>45311</v>
      </c>
      <c r="C648">
        <v>21571.8</v>
      </c>
      <c r="I648" s="77"/>
    </row>
    <row r="649" spans="2:9" x14ac:dyDescent="0.3">
      <c r="B649" s="77">
        <v>45310</v>
      </c>
      <c r="C649">
        <v>21622.400000000001</v>
      </c>
      <c r="I649" s="77"/>
    </row>
    <row r="650" spans="2:9" x14ac:dyDescent="0.3">
      <c r="B650" s="77">
        <v>45309</v>
      </c>
      <c r="C650">
        <v>21462.25</v>
      </c>
      <c r="I650" s="77"/>
    </row>
    <row r="651" spans="2:9" x14ac:dyDescent="0.3">
      <c r="B651" s="77">
        <v>45308</v>
      </c>
      <c r="C651">
        <v>21571.95</v>
      </c>
      <c r="I651" s="77"/>
    </row>
    <row r="652" spans="2:9" x14ac:dyDescent="0.3">
      <c r="B652" s="77">
        <v>45307</v>
      </c>
      <c r="C652">
        <v>22032.3</v>
      </c>
      <c r="I652" s="77"/>
    </row>
    <row r="653" spans="2:9" x14ac:dyDescent="0.3">
      <c r="B653" s="77">
        <v>45306</v>
      </c>
      <c r="C653">
        <v>22097.45</v>
      </c>
      <c r="I653" s="77"/>
    </row>
    <row r="654" spans="2:9" x14ac:dyDescent="0.3">
      <c r="B654" s="77">
        <v>45303</v>
      </c>
      <c r="C654">
        <v>21894.55</v>
      </c>
      <c r="I654" s="77"/>
    </row>
    <row r="655" spans="2:9" x14ac:dyDescent="0.3">
      <c r="B655" s="77">
        <v>45302</v>
      </c>
      <c r="C655">
        <v>21647.200000000001</v>
      </c>
      <c r="I655" s="77"/>
    </row>
    <row r="656" spans="2:9" x14ac:dyDescent="0.3">
      <c r="B656" s="77">
        <v>45301</v>
      </c>
      <c r="C656">
        <v>21618.7</v>
      </c>
      <c r="I656" s="77"/>
    </row>
    <row r="657" spans="2:9" x14ac:dyDescent="0.3">
      <c r="B657" s="77">
        <v>45300</v>
      </c>
      <c r="C657">
        <v>21544.85</v>
      </c>
      <c r="I657" s="77"/>
    </row>
    <row r="658" spans="2:9" x14ac:dyDescent="0.3">
      <c r="B658" s="77">
        <v>45299</v>
      </c>
      <c r="C658">
        <v>21513</v>
      </c>
      <c r="I658" s="77"/>
    </row>
    <row r="659" spans="2:9" x14ac:dyDescent="0.3">
      <c r="B659" s="77">
        <v>45296</v>
      </c>
      <c r="C659">
        <v>21710.799999999999</v>
      </c>
      <c r="I659" s="77"/>
    </row>
    <row r="660" spans="2:9" x14ac:dyDescent="0.3">
      <c r="B660" s="77">
        <v>45295</v>
      </c>
      <c r="C660">
        <v>21658.6</v>
      </c>
      <c r="I660" s="77"/>
    </row>
    <row r="661" spans="2:9" x14ac:dyDescent="0.3">
      <c r="B661" s="77">
        <v>45294</v>
      </c>
      <c r="C661">
        <v>21517.35</v>
      </c>
      <c r="I661" s="77"/>
    </row>
    <row r="662" spans="2:9" x14ac:dyDescent="0.3">
      <c r="B662" s="77">
        <v>45293</v>
      </c>
      <c r="C662">
        <v>21665.8</v>
      </c>
      <c r="I662" s="77"/>
    </row>
    <row r="663" spans="2:9" x14ac:dyDescent="0.3">
      <c r="B663" s="77">
        <v>45292</v>
      </c>
      <c r="C663">
        <v>21741.9</v>
      </c>
      <c r="I663" s="77"/>
    </row>
    <row r="664" spans="2:9" x14ac:dyDescent="0.3">
      <c r="B664" s="77">
        <v>45289</v>
      </c>
      <c r="C664">
        <v>21731.4</v>
      </c>
      <c r="I664" s="77"/>
    </row>
    <row r="665" spans="2:9" x14ac:dyDescent="0.3">
      <c r="B665" s="77">
        <v>45288</v>
      </c>
      <c r="C665">
        <v>21778.7</v>
      </c>
      <c r="I665" s="77"/>
    </row>
    <row r="666" spans="2:9" x14ac:dyDescent="0.3">
      <c r="B666" s="77">
        <v>45287</v>
      </c>
      <c r="C666">
        <v>21654.75</v>
      </c>
      <c r="I666" s="77"/>
    </row>
    <row r="667" spans="2:9" x14ac:dyDescent="0.3">
      <c r="B667" s="77">
        <v>45286</v>
      </c>
      <c r="C667">
        <v>21441.35</v>
      </c>
      <c r="I667" s="77"/>
    </row>
    <row r="668" spans="2:9" x14ac:dyDescent="0.3">
      <c r="B668" s="77">
        <v>45282</v>
      </c>
      <c r="C668">
        <v>21349.4</v>
      </c>
      <c r="I668" s="77"/>
    </row>
    <row r="669" spans="2:9" x14ac:dyDescent="0.3">
      <c r="B669" s="77">
        <v>45281</v>
      </c>
      <c r="C669">
        <v>21255.05</v>
      </c>
      <c r="I669" s="77"/>
    </row>
    <row r="670" spans="2:9" x14ac:dyDescent="0.3">
      <c r="B670" s="77">
        <v>45280</v>
      </c>
      <c r="C670">
        <v>21150.15</v>
      </c>
      <c r="I670" s="77"/>
    </row>
    <row r="671" spans="2:9" x14ac:dyDescent="0.3">
      <c r="B671" s="77">
        <v>45279</v>
      </c>
      <c r="C671">
        <v>21453.1</v>
      </c>
      <c r="I671" s="77"/>
    </row>
    <row r="672" spans="2:9" x14ac:dyDescent="0.3">
      <c r="B672" s="77">
        <v>45278</v>
      </c>
      <c r="C672">
        <v>21418.65</v>
      </c>
      <c r="I672" s="77"/>
    </row>
    <row r="673" spans="2:9" x14ac:dyDescent="0.3">
      <c r="B673" s="77">
        <v>45275</v>
      </c>
      <c r="C673">
        <v>21456.65</v>
      </c>
      <c r="I673" s="77"/>
    </row>
    <row r="674" spans="2:9" x14ac:dyDescent="0.3">
      <c r="B674" s="77">
        <v>45274</v>
      </c>
      <c r="C674">
        <v>21182.7</v>
      </c>
      <c r="I674" s="77"/>
    </row>
    <row r="675" spans="2:9" x14ac:dyDescent="0.3">
      <c r="B675" s="77">
        <v>45273</v>
      </c>
      <c r="C675">
        <v>20926.349999999999</v>
      </c>
      <c r="I675" s="77"/>
    </row>
    <row r="676" spans="2:9" x14ac:dyDescent="0.3">
      <c r="B676" s="77">
        <v>45272</v>
      </c>
      <c r="C676">
        <v>20906.400000000001</v>
      </c>
      <c r="I676" s="77"/>
    </row>
    <row r="677" spans="2:9" x14ac:dyDescent="0.3">
      <c r="B677" s="77">
        <v>45271</v>
      </c>
      <c r="C677">
        <v>20997.1</v>
      </c>
      <c r="I677" s="77"/>
    </row>
    <row r="678" spans="2:9" x14ac:dyDescent="0.3">
      <c r="B678" s="77">
        <v>45268</v>
      </c>
      <c r="C678">
        <v>20969.400000000001</v>
      </c>
      <c r="I678" s="77"/>
    </row>
    <row r="679" spans="2:9" x14ac:dyDescent="0.3">
      <c r="B679" s="77">
        <v>45267</v>
      </c>
      <c r="C679">
        <v>20901.150000000001</v>
      </c>
      <c r="I679" s="77"/>
    </row>
    <row r="680" spans="2:9" x14ac:dyDescent="0.3">
      <c r="B680" s="77">
        <v>45266</v>
      </c>
      <c r="C680">
        <v>20937.7</v>
      </c>
      <c r="I680" s="77"/>
    </row>
    <row r="681" spans="2:9" x14ac:dyDescent="0.3">
      <c r="B681" s="77">
        <v>45265</v>
      </c>
      <c r="C681">
        <v>20855.099999999999</v>
      </c>
      <c r="I681" s="77"/>
    </row>
    <row r="682" spans="2:9" x14ac:dyDescent="0.3">
      <c r="B682" s="77">
        <v>45264</v>
      </c>
      <c r="C682">
        <v>20686.8</v>
      </c>
      <c r="I682" s="77"/>
    </row>
    <row r="683" spans="2:9" x14ac:dyDescent="0.3">
      <c r="B683" s="77">
        <v>45261</v>
      </c>
      <c r="C683">
        <v>20267.900000000001</v>
      </c>
      <c r="I683" s="77"/>
    </row>
    <row r="684" spans="2:9" x14ac:dyDescent="0.3">
      <c r="B684" s="77">
        <v>45260</v>
      </c>
      <c r="C684">
        <v>20133.150000000001</v>
      </c>
      <c r="I684" s="77"/>
    </row>
    <row r="685" spans="2:9" x14ac:dyDescent="0.3">
      <c r="B685" s="77">
        <v>45259</v>
      </c>
      <c r="C685">
        <v>20096.599999999999</v>
      </c>
      <c r="I685" s="77"/>
    </row>
    <row r="686" spans="2:9" x14ac:dyDescent="0.3">
      <c r="B686" s="77">
        <v>45258</v>
      </c>
      <c r="C686">
        <v>19889.7</v>
      </c>
      <c r="I686" s="77"/>
    </row>
    <row r="687" spans="2:9" x14ac:dyDescent="0.3">
      <c r="B687" s="77">
        <v>45254</v>
      </c>
      <c r="C687">
        <v>19794.7</v>
      </c>
      <c r="I687" s="77"/>
    </row>
    <row r="688" spans="2:9" x14ac:dyDescent="0.3">
      <c r="B688" s="77">
        <v>45253</v>
      </c>
      <c r="C688">
        <v>19802</v>
      </c>
      <c r="I688" s="77"/>
    </row>
    <row r="689" spans="2:9" x14ac:dyDescent="0.3">
      <c r="B689" s="77">
        <v>45252</v>
      </c>
      <c r="C689">
        <v>19811.849999999999</v>
      </c>
      <c r="I689" s="77"/>
    </row>
    <row r="690" spans="2:9" x14ac:dyDescent="0.3">
      <c r="B690" s="77">
        <v>45251</v>
      </c>
      <c r="C690">
        <v>19783.400000000001</v>
      </c>
      <c r="I690" s="77"/>
    </row>
    <row r="691" spans="2:9" x14ac:dyDescent="0.3">
      <c r="B691" s="77">
        <v>45250</v>
      </c>
      <c r="C691">
        <v>19694</v>
      </c>
      <c r="I691" s="77"/>
    </row>
    <row r="692" spans="2:9" x14ac:dyDescent="0.3">
      <c r="B692" s="77">
        <v>45247</v>
      </c>
      <c r="C692">
        <v>19731.8</v>
      </c>
      <c r="I692" s="77"/>
    </row>
    <row r="693" spans="2:9" x14ac:dyDescent="0.3">
      <c r="B693" s="77">
        <v>45246</v>
      </c>
      <c r="C693">
        <v>19765.2</v>
      </c>
      <c r="I693" s="77"/>
    </row>
    <row r="694" spans="2:9" x14ac:dyDescent="0.3">
      <c r="B694" s="77">
        <v>45245</v>
      </c>
      <c r="C694">
        <v>19675.45</v>
      </c>
      <c r="I694" s="77"/>
    </row>
    <row r="695" spans="2:9" x14ac:dyDescent="0.3">
      <c r="B695" s="77">
        <v>45243</v>
      </c>
      <c r="C695">
        <v>19443.55</v>
      </c>
      <c r="I695" s="77"/>
    </row>
    <row r="696" spans="2:9" x14ac:dyDescent="0.3">
      <c r="B696" s="77">
        <v>45242</v>
      </c>
      <c r="C696">
        <v>19525.55</v>
      </c>
      <c r="I696" s="77"/>
    </row>
    <row r="697" spans="2:9" x14ac:dyDescent="0.3">
      <c r="B697" s="77">
        <v>45240</v>
      </c>
      <c r="C697">
        <v>19425.349999999999</v>
      </c>
      <c r="I697" s="77"/>
    </row>
    <row r="698" spans="2:9" x14ac:dyDescent="0.3">
      <c r="B698" s="77">
        <v>45239</v>
      </c>
      <c r="C698">
        <v>19395.3</v>
      </c>
      <c r="I698" s="77"/>
    </row>
    <row r="699" spans="2:9" x14ac:dyDescent="0.3">
      <c r="B699" s="77">
        <v>45238</v>
      </c>
      <c r="C699">
        <v>19443.5</v>
      </c>
      <c r="I699" s="77"/>
    </row>
    <row r="700" spans="2:9" x14ac:dyDescent="0.3">
      <c r="B700" s="77">
        <v>45237</v>
      </c>
      <c r="C700">
        <v>19406.7</v>
      </c>
      <c r="I700" s="77"/>
    </row>
    <row r="701" spans="2:9" x14ac:dyDescent="0.3">
      <c r="B701" s="77">
        <v>45236</v>
      </c>
      <c r="C701">
        <v>19411.75</v>
      </c>
      <c r="I701" s="77"/>
    </row>
    <row r="702" spans="2:9" x14ac:dyDescent="0.3">
      <c r="B702" s="77">
        <v>45233</v>
      </c>
      <c r="C702">
        <v>19230.599999999999</v>
      </c>
      <c r="I702" s="77"/>
    </row>
    <row r="703" spans="2:9" x14ac:dyDescent="0.3">
      <c r="B703" s="77">
        <v>45232</v>
      </c>
      <c r="C703">
        <v>19133.25</v>
      </c>
      <c r="I703" s="77"/>
    </row>
    <row r="704" spans="2:9" x14ac:dyDescent="0.3">
      <c r="B704" s="77">
        <v>45231</v>
      </c>
      <c r="C704">
        <v>18989.150000000001</v>
      </c>
      <c r="I704" s="77"/>
    </row>
    <row r="705" spans="2:9" x14ac:dyDescent="0.3">
      <c r="B705" s="77">
        <v>45230</v>
      </c>
      <c r="C705">
        <v>19079.599999999999</v>
      </c>
      <c r="I705" s="77"/>
    </row>
    <row r="706" spans="2:9" x14ac:dyDescent="0.3">
      <c r="B706" s="77">
        <v>45229</v>
      </c>
      <c r="C706">
        <v>19140.900000000001</v>
      </c>
      <c r="I706" s="77"/>
    </row>
    <row r="707" spans="2:9" x14ac:dyDescent="0.3">
      <c r="B707" s="77">
        <v>45226</v>
      </c>
      <c r="C707">
        <v>19047.25</v>
      </c>
      <c r="I707" s="77"/>
    </row>
    <row r="708" spans="2:9" x14ac:dyDescent="0.3">
      <c r="B708" s="77">
        <v>45225</v>
      </c>
      <c r="C708">
        <v>18857.25</v>
      </c>
      <c r="I708" s="77"/>
    </row>
    <row r="709" spans="2:9" x14ac:dyDescent="0.3">
      <c r="B709" s="77">
        <v>45224</v>
      </c>
      <c r="C709">
        <v>19122.150000000001</v>
      </c>
      <c r="I709" s="77"/>
    </row>
    <row r="710" spans="2:9" x14ac:dyDescent="0.3">
      <c r="B710" s="77">
        <v>45222</v>
      </c>
      <c r="C710">
        <v>19281.75</v>
      </c>
      <c r="I710" s="77"/>
    </row>
    <row r="711" spans="2:9" x14ac:dyDescent="0.3">
      <c r="B711" s="77">
        <v>45219</v>
      </c>
      <c r="C711">
        <v>19542.650000000001</v>
      </c>
      <c r="I711" s="77"/>
    </row>
    <row r="712" spans="2:9" x14ac:dyDescent="0.3">
      <c r="B712" s="77">
        <v>45218</v>
      </c>
      <c r="C712">
        <v>19624.7</v>
      </c>
      <c r="I712" s="77"/>
    </row>
    <row r="713" spans="2:9" x14ac:dyDescent="0.3">
      <c r="B713" s="77">
        <v>45217</v>
      </c>
      <c r="C713">
        <v>19671.099999999999</v>
      </c>
      <c r="I713" s="77"/>
    </row>
    <row r="714" spans="2:9" x14ac:dyDescent="0.3">
      <c r="B714" s="77">
        <v>45216</v>
      </c>
      <c r="C714">
        <v>19811.5</v>
      </c>
      <c r="I714" s="77"/>
    </row>
    <row r="715" spans="2:9" x14ac:dyDescent="0.3">
      <c r="B715" s="77">
        <v>45215</v>
      </c>
      <c r="C715">
        <v>19731.75</v>
      </c>
      <c r="I715" s="77"/>
    </row>
    <row r="716" spans="2:9" x14ac:dyDescent="0.3">
      <c r="B716" s="77">
        <v>45212</v>
      </c>
      <c r="C716">
        <v>19751.05</v>
      </c>
      <c r="I716" s="77"/>
    </row>
    <row r="717" spans="2:9" x14ac:dyDescent="0.3">
      <c r="B717" s="77">
        <v>45211</v>
      </c>
      <c r="C717">
        <v>19794</v>
      </c>
      <c r="I717" s="77"/>
    </row>
    <row r="718" spans="2:9" x14ac:dyDescent="0.3">
      <c r="B718" s="77">
        <v>45210</v>
      </c>
      <c r="C718">
        <v>19811.349999999999</v>
      </c>
      <c r="I718" s="77"/>
    </row>
    <row r="719" spans="2:9" x14ac:dyDescent="0.3">
      <c r="B719" s="77">
        <v>45209</v>
      </c>
      <c r="C719">
        <v>19689.849999999999</v>
      </c>
      <c r="I719" s="77"/>
    </row>
    <row r="720" spans="2:9" x14ac:dyDescent="0.3">
      <c r="B720" s="77">
        <v>45208</v>
      </c>
      <c r="C720">
        <v>19512.349999999999</v>
      </c>
      <c r="I720" s="77"/>
    </row>
    <row r="721" spans="2:9" x14ac:dyDescent="0.3">
      <c r="B721" s="77">
        <v>45205</v>
      </c>
      <c r="C721">
        <v>19653.5</v>
      </c>
      <c r="I721" s="77"/>
    </row>
    <row r="722" spans="2:9" x14ac:dyDescent="0.3">
      <c r="B722" s="77">
        <v>45204</v>
      </c>
      <c r="C722">
        <v>19545.75</v>
      </c>
      <c r="I722" s="77"/>
    </row>
    <row r="723" spans="2:9" x14ac:dyDescent="0.3">
      <c r="B723" s="77">
        <v>45203</v>
      </c>
      <c r="C723">
        <v>19436.099999999999</v>
      </c>
      <c r="I723" s="77"/>
    </row>
    <row r="724" spans="2:9" x14ac:dyDescent="0.3">
      <c r="B724" s="77">
        <v>45202</v>
      </c>
      <c r="C724">
        <v>19528.75</v>
      </c>
      <c r="I724" s="77"/>
    </row>
    <row r="725" spans="2:9" x14ac:dyDescent="0.3">
      <c r="B725" s="77">
        <v>45198</v>
      </c>
      <c r="C725">
        <v>19638.3</v>
      </c>
      <c r="I725" s="77"/>
    </row>
    <row r="726" spans="2:9" x14ac:dyDescent="0.3">
      <c r="B726" s="77">
        <v>45197</v>
      </c>
      <c r="C726">
        <v>19523.55</v>
      </c>
      <c r="I726" s="77"/>
    </row>
    <row r="727" spans="2:9" x14ac:dyDescent="0.3">
      <c r="B727" s="77">
        <v>45196</v>
      </c>
      <c r="C727">
        <v>19716.45</v>
      </c>
      <c r="I727" s="77"/>
    </row>
    <row r="728" spans="2:9" x14ac:dyDescent="0.3">
      <c r="B728" s="77">
        <v>45195</v>
      </c>
      <c r="C728">
        <v>19664.7</v>
      </c>
      <c r="I728" s="77"/>
    </row>
    <row r="729" spans="2:9" x14ac:dyDescent="0.3">
      <c r="B729" s="77">
        <v>45194</v>
      </c>
      <c r="C729">
        <v>19674.55</v>
      </c>
      <c r="I729" s="77"/>
    </row>
    <row r="730" spans="2:9" x14ac:dyDescent="0.3">
      <c r="B730" s="77">
        <v>45191</v>
      </c>
      <c r="C730">
        <v>19674.25</v>
      </c>
      <c r="I730" s="77"/>
    </row>
    <row r="731" spans="2:9" x14ac:dyDescent="0.3">
      <c r="B731" s="77">
        <v>45190</v>
      </c>
      <c r="C731">
        <v>19742.349999999999</v>
      </c>
      <c r="I731" s="77"/>
    </row>
    <row r="732" spans="2:9" x14ac:dyDescent="0.3">
      <c r="B732" s="77">
        <v>45189</v>
      </c>
      <c r="C732">
        <v>19901.400000000001</v>
      </c>
      <c r="I732" s="77"/>
    </row>
    <row r="733" spans="2:9" x14ac:dyDescent="0.3">
      <c r="B733" s="77">
        <v>45187</v>
      </c>
      <c r="C733">
        <v>20133.3</v>
      </c>
      <c r="I733" s="77"/>
    </row>
    <row r="734" spans="2:9" x14ac:dyDescent="0.3">
      <c r="B734" s="77">
        <v>45184</v>
      </c>
      <c r="C734">
        <v>20192.349999999999</v>
      </c>
      <c r="I734" s="77"/>
    </row>
    <row r="735" spans="2:9" x14ac:dyDescent="0.3">
      <c r="B735" s="77">
        <v>45183</v>
      </c>
      <c r="C735">
        <v>20103.099999999999</v>
      </c>
      <c r="I735" s="77"/>
    </row>
    <row r="736" spans="2:9" x14ac:dyDescent="0.3">
      <c r="B736" s="77">
        <v>45182</v>
      </c>
      <c r="C736">
        <v>20070</v>
      </c>
      <c r="I736" s="77"/>
    </row>
    <row r="737" spans="2:9" x14ac:dyDescent="0.3">
      <c r="B737" s="77">
        <v>45181</v>
      </c>
      <c r="C737">
        <v>19993.2</v>
      </c>
      <c r="I737" s="77"/>
    </row>
    <row r="738" spans="2:9" x14ac:dyDescent="0.3">
      <c r="B738" s="77">
        <v>45180</v>
      </c>
      <c r="C738">
        <v>19996.349999999999</v>
      </c>
      <c r="I738" s="77"/>
    </row>
    <row r="739" spans="2:9" x14ac:dyDescent="0.3">
      <c r="B739" s="77">
        <v>45177</v>
      </c>
      <c r="C739">
        <v>19819.95</v>
      </c>
      <c r="I739" s="77"/>
    </row>
    <row r="740" spans="2:9" x14ac:dyDescent="0.3">
      <c r="B740" s="77">
        <v>45176</v>
      </c>
      <c r="C740">
        <v>19727.05</v>
      </c>
      <c r="I740" s="77"/>
    </row>
    <row r="741" spans="2:9" x14ac:dyDescent="0.3">
      <c r="B741" s="77">
        <v>45175</v>
      </c>
      <c r="C741">
        <v>19611.05</v>
      </c>
      <c r="I741" s="77"/>
    </row>
    <row r="742" spans="2:9" x14ac:dyDescent="0.3">
      <c r="B742" s="77">
        <v>45174</v>
      </c>
      <c r="C742">
        <v>19574.900000000001</v>
      </c>
      <c r="I742" s="77"/>
    </row>
    <row r="743" spans="2:9" x14ac:dyDescent="0.3">
      <c r="B743" s="77">
        <v>45173</v>
      </c>
      <c r="C743">
        <v>19528.8</v>
      </c>
      <c r="I743" s="77"/>
    </row>
    <row r="744" spans="2:9" x14ac:dyDescent="0.3">
      <c r="B744" s="77">
        <v>45170</v>
      </c>
      <c r="C744">
        <v>19435.3</v>
      </c>
      <c r="I744" s="77"/>
    </row>
    <row r="745" spans="2:9" x14ac:dyDescent="0.3">
      <c r="B745" s="77">
        <v>45169</v>
      </c>
      <c r="C745">
        <v>19253.8</v>
      </c>
      <c r="I745" s="77"/>
    </row>
    <row r="746" spans="2:9" x14ac:dyDescent="0.3">
      <c r="B746" s="77">
        <v>45168</v>
      </c>
      <c r="C746">
        <v>19347.45</v>
      </c>
      <c r="I746" s="77"/>
    </row>
    <row r="747" spans="2:9" x14ac:dyDescent="0.3">
      <c r="B747" s="77">
        <v>45167</v>
      </c>
      <c r="C747">
        <v>19342.650000000001</v>
      </c>
      <c r="I747" s="77"/>
    </row>
    <row r="748" spans="2:9" x14ac:dyDescent="0.3">
      <c r="B748" s="77">
        <v>45166</v>
      </c>
      <c r="C748">
        <v>19306.05</v>
      </c>
      <c r="I748" s="77"/>
    </row>
    <row r="749" spans="2:9" x14ac:dyDescent="0.3">
      <c r="B749" s="77">
        <v>45163</v>
      </c>
      <c r="C749">
        <v>19265.8</v>
      </c>
      <c r="I749" s="77"/>
    </row>
    <row r="750" spans="2:9" x14ac:dyDescent="0.3">
      <c r="B750" s="77">
        <v>45162</v>
      </c>
      <c r="C750">
        <v>19386.7</v>
      </c>
      <c r="I750" s="77"/>
    </row>
    <row r="751" spans="2:9" x14ac:dyDescent="0.3">
      <c r="B751" s="77">
        <v>45161</v>
      </c>
      <c r="C751">
        <v>19444</v>
      </c>
      <c r="I751" s="77"/>
    </row>
    <row r="752" spans="2:9" x14ac:dyDescent="0.3">
      <c r="B752" s="77">
        <v>45160</v>
      </c>
      <c r="C752">
        <v>19396.45</v>
      </c>
      <c r="I752" s="77"/>
    </row>
    <row r="753" spans="2:9" x14ac:dyDescent="0.3">
      <c r="B753" s="77">
        <v>45159</v>
      </c>
      <c r="C753">
        <v>19393.599999999999</v>
      </c>
      <c r="I753" s="77"/>
    </row>
    <row r="754" spans="2:9" x14ac:dyDescent="0.3">
      <c r="B754" s="77">
        <v>45156</v>
      </c>
      <c r="C754">
        <v>19310.150000000001</v>
      </c>
      <c r="I754" s="77"/>
    </row>
    <row r="755" spans="2:9" x14ac:dyDescent="0.3">
      <c r="B755" s="77">
        <v>45155</v>
      </c>
      <c r="C755">
        <v>19365.25</v>
      </c>
      <c r="I755" s="77"/>
    </row>
    <row r="756" spans="2:9" x14ac:dyDescent="0.3">
      <c r="B756" s="77">
        <v>45154</v>
      </c>
      <c r="C756">
        <v>19465</v>
      </c>
      <c r="I756" s="77"/>
    </row>
    <row r="757" spans="2:9" x14ac:dyDescent="0.3">
      <c r="B757" s="77">
        <v>45152</v>
      </c>
      <c r="C757">
        <v>19434.55</v>
      </c>
      <c r="I757" s="77"/>
    </row>
    <row r="758" spans="2:9" x14ac:dyDescent="0.3">
      <c r="B758" s="77">
        <v>45149</v>
      </c>
      <c r="C758">
        <v>19428.3</v>
      </c>
      <c r="I758" s="77"/>
    </row>
    <row r="759" spans="2:9" x14ac:dyDescent="0.3">
      <c r="B759" s="77">
        <v>45148</v>
      </c>
      <c r="C759">
        <v>19543.099999999999</v>
      </c>
      <c r="I759" s="77"/>
    </row>
    <row r="760" spans="2:9" x14ac:dyDescent="0.3">
      <c r="B760" s="77">
        <v>45147</v>
      </c>
      <c r="C760">
        <v>19632.55</v>
      </c>
      <c r="I760" s="77"/>
    </row>
    <row r="761" spans="2:9" x14ac:dyDescent="0.3">
      <c r="B761" s="77">
        <v>45146</v>
      </c>
      <c r="C761">
        <v>19570.849999999999</v>
      </c>
      <c r="I761" s="77"/>
    </row>
    <row r="762" spans="2:9" x14ac:dyDescent="0.3">
      <c r="B762" s="77">
        <v>45145</v>
      </c>
      <c r="C762">
        <v>19597.3</v>
      </c>
      <c r="I762" s="77"/>
    </row>
    <row r="763" spans="2:9" x14ac:dyDescent="0.3">
      <c r="B763" s="77">
        <v>45142</v>
      </c>
      <c r="C763">
        <v>19517</v>
      </c>
      <c r="I763" s="77"/>
    </row>
    <row r="764" spans="2:9" x14ac:dyDescent="0.3">
      <c r="B764" s="77">
        <v>45141</v>
      </c>
      <c r="C764">
        <v>19381.650000000001</v>
      </c>
      <c r="I764" s="77"/>
    </row>
    <row r="765" spans="2:9" x14ac:dyDescent="0.3">
      <c r="B765" s="77">
        <v>45140</v>
      </c>
      <c r="C765">
        <v>19526.55</v>
      </c>
      <c r="I765" s="77"/>
    </row>
    <row r="766" spans="2:9" x14ac:dyDescent="0.3">
      <c r="B766" s="77">
        <v>45139</v>
      </c>
      <c r="C766">
        <v>19733.55</v>
      </c>
      <c r="I766" s="77"/>
    </row>
    <row r="767" spans="2:9" x14ac:dyDescent="0.3">
      <c r="B767" s="77">
        <v>45138</v>
      </c>
      <c r="C767">
        <v>19753.8</v>
      </c>
      <c r="I767" s="77"/>
    </row>
    <row r="768" spans="2:9" x14ac:dyDescent="0.3">
      <c r="B768" s="77">
        <v>45135</v>
      </c>
      <c r="C768">
        <v>19646.05</v>
      </c>
      <c r="I768" s="77"/>
    </row>
    <row r="769" spans="2:9" x14ac:dyDescent="0.3">
      <c r="B769" s="77">
        <v>45134</v>
      </c>
      <c r="C769">
        <v>19659.900000000001</v>
      </c>
      <c r="I769" s="77"/>
    </row>
    <row r="770" spans="2:9" x14ac:dyDescent="0.3">
      <c r="B770" s="77">
        <v>45133</v>
      </c>
      <c r="C770">
        <v>19778.3</v>
      </c>
      <c r="I770" s="77"/>
    </row>
    <row r="771" spans="2:9" x14ac:dyDescent="0.3">
      <c r="B771" s="77">
        <v>45132</v>
      </c>
      <c r="C771">
        <v>19680.599999999999</v>
      </c>
      <c r="I771" s="77"/>
    </row>
    <row r="772" spans="2:9" x14ac:dyDescent="0.3">
      <c r="B772" s="77">
        <v>45131</v>
      </c>
      <c r="C772">
        <v>19672.349999999999</v>
      </c>
      <c r="I772" s="77"/>
    </row>
    <row r="773" spans="2:9" x14ac:dyDescent="0.3">
      <c r="B773" s="77">
        <v>45128</v>
      </c>
      <c r="C773">
        <v>19745</v>
      </c>
      <c r="I773" s="77"/>
    </row>
    <row r="774" spans="2:9" x14ac:dyDescent="0.3">
      <c r="B774" s="77">
        <v>45127</v>
      </c>
      <c r="C774">
        <v>19979.150000000001</v>
      </c>
      <c r="I774" s="77"/>
    </row>
    <row r="775" spans="2:9" x14ac:dyDescent="0.3">
      <c r="B775" s="77">
        <v>45126</v>
      </c>
      <c r="C775">
        <v>19833.150000000001</v>
      </c>
      <c r="I775" s="77"/>
    </row>
    <row r="776" spans="2:9" x14ac:dyDescent="0.3">
      <c r="B776" s="77">
        <v>45125</v>
      </c>
      <c r="C776">
        <v>19749.25</v>
      </c>
      <c r="I776" s="77"/>
    </row>
    <row r="777" spans="2:9" x14ac:dyDescent="0.3">
      <c r="B777" s="77">
        <v>45124</v>
      </c>
      <c r="C777">
        <v>19711.45</v>
      </c>
      <c r="I777" s="77"/>
    </row>
    <row r="778" spans="2:9" x14ac:dyDescent="0.3">
      <c r="B778" s="77">
        <v>45121</v>
      </c>
      <c r="C778">
        <v>19564.5</v>
      </c>
      <c r="I778" s="77"/>
    </row>
    <row r="779" spans="2:9" x14ac:dyDescent="0.3">
      <c r="B779" s="77">
        <v>45120</v>
      </c>
      <c r="C779">
        <v>19413.75</v>
      </c>
      <c r="I779" s="77"/>
    </row>
    <row r="780" spans="2:9" x14ac:dyDescent="0.3">
      <c r="B780" s="77">
        <v>45119</v>
      </c>
      <c r="C780">
        <v>19384.3</v>
      </c>
      <c r="I780" s="77"/>
    </row>
    <row r="781" spans="2:9" x14ac:dyDescent="0.3">
      <c r="B781" s="77">
        <v>45118</v>
      </c>
      <c r="C781">
        <v>19439.400000000001</v>
      </c>
      <c r="I781" s="77"/>
    </row>
    <row r="782" spans="2:9" x14ac:dyDescent="0.3">
      <c r="B782" s="77">
        <v>45117</v>
      </c>
      <c r="C782">
        <v>19355.900000000001</v>
      </c>
      <c r="I782" s="77"/>
    </row>
    <row r="783" spans="2:9" x14ac:dyDescent="0.3">
      <c r="B783" s="77">
        <v>45114</v>
      </c>
      <c r="C783">
        <v>19331.8</v>
      </c>
      <c r="I783" s="77"/>
    </row>
    <row r="784" spans="2:9" x14ac:dyDescent="0.3">
      <c r="B784" s="77">
        <v>45113</v>
      </c>
      <c r="C784">
        <v>19497.3</v>
      </c>
      <c r="I784" s="77"/>
    </row>
    <row r="785" spans="2:9" x14ac:dyDescent="0.3">
      <c r="B785" s="77">
        <v>45112</v>
      </c>
      <c r="C785">
        <v>19398.5</v>
      </c>
      <c r="I785" s="77"/>
    </row>
    <row r="786" spans="2:9" x14ac:dyDescent="0.3">
      <c r="B786" s="77">
        <v>45111</v>
      </c>
      <c r="C786">
        <v>19389</v>
      </c>
      <c r="I786" s="77"/>
    </row>
    <row r="787" spans="2:9" x14ac:dyDescent="0.3">
      <c r="B787" s="77">
        <v>45110</v>
      </c>
      <c r="C787">
        <v>19322.55</v>
      </c>
      <c r="I787" s="77"/>
    </row>
    <row r="788" spans="2:9" x14ac:dyDescent="0.3">
      <c r="B788" s="77">
        <v>45107</v>
      </c>
      <c r="C788">
        <v>19189.05</v>
      </c>
      <c r="I788" s="77"/>
    </row>
    <row r="789" spans="2:9" x14ac:dyDescent="0.3">
      <c r="B789" s="77">
        <v>45105</v>
      </c>
      <c r="C789">
        <v>18972.099999999999</v>
      </c>
      <c r="I789" s="77"/>
    </row>
    <row r="790" spans="2:9" x14ac:dyDescent="0.3">
      <c r="B790" s="77">
        <v>45104</v>
      </c>
      <c r="C790">
        <v>18817.400000000001</v>
      </c>
      <c r="I790" s="77"/>
    </row>
    <row r="791" spans="2:9" x14ac:dyDescent="0.3">
      <c r="B791" s="77">
        <v>45103</v>
      </c>
      <c r="C791">
        <v>18691.2</v>
      </c>
      <c r="I791" s="77"/>
    </row>
    <row r="792" spans="2:9" x14ac:dyDescent="0.3">
      <c r="B792" s="77">
        <v>45100</v>
      </c>
      <c r="C792">
        <v>18665.5</v>
      </c>
      <c r="I792" s="77"/>
    </row>
    <row r="793" spans="2:9" x14ac:dyDescent="0.3">
      <c r="B793" s="77">
        <v>45099</v>
      </c>
      <c r="C793">
        <v>18771.25</v>
      </c>
      <c r="I793" s="77"/>
    </row>
    <row r="794" spans="2:9" x14ac:dyDescent="0.3">
      <c r="B794" s="77">
        <v>45098</v>
      </c>
      <c r="C794">
        <v>18856.849999999999</v>
      </c>
      <c r="I794" s="77"/>
    </row>
    <row r="795" spans="2:9" x14ac:dyDescent="0.3">
      <c r="B795" s="77">
        <v>45097</v>
      </c>
      <c r="C795">
        <v>18816.7</v>
      </c>
      <c r="I795" s="77"/>
    </row>
    <row r="796" spans="2:9" x14ac:dyDescent="0.3">
      <c r="B796" s="77">
        <v>45096</v>
      </c>
      <c r="C796">
        <v>18755.45</v>
      </c>
      <c r="I796" s="77"/>
    </row>
    <row r="797" spans="2:9" x14ac:dyDescent="0.3">
      <c r="B797" s="77">
        <v>45093</v>
      </c>
      <c r="C797">
        <v>18826</v>
      </c>
      <c r="I797" s="77"/>
    </row>
    <row r="798" spans="2:9" x14ac:dyDescent="0.3">
      <c r="B798" s="77">
        <v>45092</v>
      </c>
      <c r="C798">
        <v>18688.099999999999</v>
      </c>
      <c r="I798" s="77"/>
    </row>
    <row r="799" spans="2:9" x14ac:dyDescent="0.3">
      <c r="B799" s="77">
        <v>45091</v>
      </c>
      <c r="C799">
        <v>18755.900000000001</v>
      </c>
      <c r="I799" s="77"/>
    </row>
    <row r="800" spans="2:9" x14ac:dyDescent="0.3">
      <c r="B800" s="77">
        <v>45090</v>
      </c>
      <c r="C800">
        <v>18716.150000000001</v>
      </c>
      <c r="I800" s="77"/>
    </row>
    <row r="801" spans="2:9" x14ac:dyDescent="0.3">
      <c r="B801" s="77">
        <v>45089</v>
      </c>
      <c r="C801">
        <v>18601.5</v>
      </c>
      <c r="I801" s="77"/>
    </row>
    <row r="802" spans="2:9" x14ac:dyDescent="0.3">
      <c r="B802" s="77">
        <v>45086</v>
      </c>
      <c r="C802">
        <v>18563.400000000001</v>
      </c>
      <c r="I802" s="77"/>
    </row>
    <row r="803" spans="2:9" x14ac:dyDescent="0.3">
      <c r="B803" s="77">
        <v>45085</v>
      </c>
      <c r="C803">
        <v>18634.55</v>
      </c>
      <c r="I803" s="77"/>
    </row>
    <row r="804" spans="2:9" x14ac:dyDescent="0.3">
      <c r="B804" s="77">
        <v>45084</v>
      </c>
      <c r="C804">
        <v>18726.400000000001</v>
      </c>
      <c r="I804" s="77"/>
    </row>
    <row r="805" spans="2:9" x14ac:dyDescent="0.3">
      <c r="B805" s="77">
        <v>45083</v>
      </c>
      <c r="C805">
        <v>18599</v>
      </c>
      <c r="I805" s="77"/>
    </row>
    <row r="806" spans="2:9" x14ac:dyDescent="0.3">
      <c r="B806" s="77">
        <v>45082</v>
      </c>
      <c r="C806">
        <v>18593.849999999999</v>
      </c>
      <c r="I806" s="77"/>
    </row>
    <row r="807" spans="2:9" x14ac:dyDescent="0.3">
      <c r="B807" s="77">
        <v>45079</v>
      </c>
      <c r="C807">
        <v>18534.099999999999</v>
      </c>
      <c r="I807" s="77"/>
    </row>
    <row r="808" spans="2:9" x14ac:dyDescent="0.3">
      <c r="B808" s="77">
        <v>45078</v>
      </c>
      <c r="C808">
        <v>18487.75</v>
      </c>
      <c r="I808" s="77"/>
    </row>
    <row r="809" spans="2:9" x14ac:dyDescent="0.3">
      <c r="B809" s="77">
        <v>45077</v>
      </c>
      <c r="C809">
        <v>18534.400000000001</v>
      </c>
      <c r="I809" s="77"/>
    </row>
    <row r="810" spans="2:9" x14ac:dyDescent="0.3">
      <c r="B810" s="77">
        <v>45076</v>
      </c>
      <c r="C810">
        <v>18633.849999999999</v>
      </c>
      <c r="I810" s="77"/>
    </row>
    <row r="811" spans="2:9" x14ac:dyDescent="0.3">
      <c r="B811" s="77">
        <v>45075</v>
      </c>
      <c r="C811">
        <v>18598.650000000001</v>
      </c>
      <c r="I811" s="77"/>
    </row>
    <row r="812" spans="2:9" x14ac:dyDescent="0.3">
      <c r="B812" s="77">
        <v>45072</v>
      </c>
      <c r="C812">
        <v>18499.349999999999</v>
      </c>
      <c r="I812" s="77"/>
    </row>
    <row r="813" spans="2:9" x14ac:dyDescent="0.3">
      <c r="B813" s="77">
        <v>45071</v>
      </c>
      <c r="C813">
        <v>18321.150000000001</v>
      </c>
      <c r="I813" s="77"/>
    </row>
    <row r="814" spans="2:9" x14ac:dyDescent="0.3">
      <c r="B814" s="77">
        <v>45070</v>
      </c>
      <c r="C814">
        <v>18285.400000000001</v>
      </c>
      <c r="I814" s="77"/>
    </row>
    <row r="815" spans="2:9" x14ac:dyDescent="0.3">
      <c r="B815" s="77">
        <v>45069</v>
      </c>
      <c r="C815">
        <v>18348</v>
      </c>
      <c r="I815" s="77"/>
    </row>
    <row r="816" spans="2:9" x14ac:dyDescent="0.3">
      <c r="B816" s="77">
        <v>45068</v>
      </c>
      <c r="C816">
        <v>18314.400000000001</v>
      </c>
      <c r="I816" s="77"/>
    </row>
    <row r="817" spans="2:9" x14ac:dyDescent="0.3">
      <c r="B817" s="77">
        <v>45065</v>
      </c>
      <c r="C817">
        <v>18203.400000000001</v>
      </c>
      <c r="I817" s="77"/>
    </row>
    <row r="818" spans="2:9" x14ac:dyDescent="0.3">
      <c r="B818" s="77">
        <v>45064</v>
      </c>
      <c r="C818">
        <v>18129.95</v>
      </c>
      <c r="I818" s="77"/>
    </row>
    <row r="819" spans="2:9" x14ac:dyDescent="0.3">
      <c r="B819" s="77">
        <v>45063</v>
      </c>
      <c r="C819">
        <v>18181.75</v>
      </c>
      <c r="I819" s="77"/>
    </row>
    <row r="820" spans="2:9" x14ac:dyDescent="0.3">
      <c r="B820" s="77">
        <v>45062</v>
      </c>
      <c r="C820">
        <v>18286.5</v>
      </c>
      <c r="I820" s="77"/>
    </row>
    <row r="821" spans="2:9" x14ac:dyDescent="0.3">
      <c r="B821" s="77">
        <v>45061</v>
      </c>
      <c r="C821">
        <v>18398.849999999999</v>
      </c>
      <c r="I821" s="77"/>
    </row>
    <row r="822" spans="2:9" x14ac:dyDescent="0.3">
      <c r="B822" s="77">
        <v>45058</v>
      </c>
      <c r="C822">
        <v>18314.8</v>
      </c>
      <c r="I822" s="77"/>
    </row>
    <row r="823" spans="2:9" x14ac:dyDescent="0.3">
      <c r="B823" s="77">
        <v>45057</v>
      </c>
      <c r="C823">
        <v>18297</v>
      </c>
      <c r="I823" s="77"/>
    </row>
    <row r="824" spans="2:9" x14ac:dyDescent="0.3">
      <c r="B824" s="77">
        <v>45056</v>
      </c>
      <c r="C824">
        <v>18315.099999999999</v>
      </c>
      <c r="I824" s="77"/>
    </row>
    <row r="825" spans="2:9" x14ac:dyDescent="0.3">
      <c r="B825" s="77">
        <v>45055</v>
      </c>
      <c r="C825">
        <v>18265.95</v>
      </c>
      <c r="I825" s="77"/>
    </row>
    <row r="826" spans="2:9" x14ac:dyDescent="0.3">
      <c r="B826" s="77">
        <v>45054</v>
      </c>
      <c r="C826">
        <v>18264.400000000001</v>
      </c>
      <c r="I826" s="77"/>
    </row>
    <row r="827" spans="2:9" x14ac:dyDescent="0.3">
      <c r="B827" s="77">
        <v>45051</v>
      </c>
      <c r="C827">
        <v>18069</v>
      </c>
      <c r="I827" s="77"/>
    </row>
    <row r="828" spans="2:9" x14ac:dyDescent="0.3">
      <c r="B828" s="77">
        <v>45050</v>
      </c>
      <c r="C828">
        <v>18255.8</v>
      </c>
      <c r="I828" s="77"/>
    </row>
    <row r="829" spans="2:9" x14ac:dyDescent="0.3">
      <c r="B829" s="77">
        <v>45049</v>
      </c>
      <c r="C829">
        <v>18089.849999999999</v>
      </c>
      <c r="I829" s="77"/>
    </row>
    <row r="830" spans="2:9" x14ac:dyDescent="0.3">
      <c r="B830" s="77">
        <v>45048</v>
      </c>
      <c r="C830">
        <v>18147.650000000001</v>
      </c>
      <c r="I830" s="77"/>
    </row>
    <row r="831" spans="2:9" x14ac:dyDescent="0.3">
      <c r="B831" s="77">
        <v>45044</v>
      </c>
      <c r="C831">
        <v>18065</v>
      </c>
      <c r="I831" s="77"/>
    </row>
    <row r="832" spans="2:9" x14ac:dyDescent="0.3">
      <c r="B832" s="77">
        <v>45043</v>
      </c>
      <c r="C832">
        <v>17915.05</v>
      </c>
      <c r="I832" s="77"/>
    </row>
    <row r="833" spans="2:9" x14ac:dyDescent="0.3">
      <c r="B833" s="77">
        <v>45042</v>
      </c>
      <c r="C833">
        <v>17813.599999999999</v>
      </c>
      <c r="I833" s="77"/>
    </row>
    <row r="834" spans="2:9" x14ac:dyDescent="0.3">
      <c r="B834" s="77">
        <v>45041</v>
      </c>
      <c r="C834">
        <v>17769.25</v>
      </c>
      <c r="I834" s="77"/>
    </row>
    <row r="835" spans="2:9" x14ac:dyDescent="0.3">
      <c r="B835" s="77">
        <v>45040</v>
      </c>
      <c r="C835">
        <v>17743.400000000001</v>
      </c>
      <c r="I835" s="77"/>
    </row>
    <row r="836" spans="2:9" x14ac:dyDescent="0.3">
      <c r="B836" s="77">
        <v>45037</v>
      </c>
      <c r="C836">
        <v>17624.05</v>
      </c>
      <c r="I836" s="77"/>
    </row>
    <row r="837" spans="2:9" x14ac:dyDescent="0.3">
      <c r="B837" s="77">
        <v>45036</v>
      </c>
      <c r="C837">
        <v>17624.45</v>
      </c>
      <c r="I837" s="77"/>
    </row>
    <row r="838" spans="2:9" x14ac:dyDescent="0.3">
      <c r="B838" s="77">
        <v>45035</v>
      </c>
      <c r="C838">
        <v>17618.75</v>
      </c>
      <c r="I838" s="77"/>
    </row>
    <row r="839" spans="2:9" x14ac:dyDescent="0.3">
      <c r="B839" s="77">
        <v>45034</v>
      </c>
      <c r="C839">
        <v>17660.150000000001</v>
      </c>
      <c r="I839" s="77"/>
    </row>
    <row r="840" spans="2:9" x14ac:dyDescent="0.3">
      <c r="B840" s="77">
        <v>45033</v>
      </c>
      <c r="C840">
        <v>17706.849999999999</v>
      </c>
      <c r="I840" s="77"/>
    </row>
    <row r="841" spans="2:9" x14ac:dyDescent="0.3">
      <c r="B841" s="77">
        <v>45029</v>
      </c>
      <c r="C841">
        <v>17828</v>
      </c>
      <c r="I841" s="77"/>
    </row>
    <row r="842" spans="2:9" x14ac:dyDescent="0.3">
      <c r="B842" s="77">
        <v>45028</v>
      </c>
      <c r="C842">
        <v>17812.400000000001</v>
      </c>
      <c r="I842" s="77"/>
    </row>
    <row r="843" spans="2:9" x14ac:dyDescent="0.3">
      <c r="B843" s="77">
        <v>45027</v>
      </c>
      <c r="C843">
        <v>17722.3</v>
      </c>
      <c r="I843" s="77"/>
    </row>
    <row r="844" spans="2:9" x14ac:dyDescent="0.3">
      <c r="B844" s="77">
        <v>45026</v>
      </c>
      <c r="C844">
        <v>17624.05</v>
      </c>
      <c r="I844" s="77"/>
    </row>
    <row r="845" spans="2:9" x14ac:dyDescent="0.3">
      <c r="B845" s="77">
        <v>45022</v>
      </c>
      <c r="C845">
        <v>17599.150000000001</v>
      </c>
      <c r="I845" s="77"/>
    </row>
    <row r="846" spans="2:9" x14ac:dyDescent="0.3">
      <c r="B846" s="77">
        <v>45021</v>
      </c>
      <c r="C846">
        <v>17557.05</v>
      </c>
      <c r="I846" s="77"/>
    </row>
    <row r="847" spans="2:9" x14ac:dyDescent="0.3">
      <c r="B847" s="77">
        <v>45019</v>
      </c>
      <c r="C847">
        <v>17398.05</v>
      </c>
      <c r="I847" s="77"/>
    </row>
    <row r="848" spans="2:9" x14ac:dyDescent="0.3">
      <c r="B848" s="77">
        <v>45016</v>
      </c>
      <c r="C848">
        <v>17359.75</v>
      </c>
      <c r="I848" s="77"/>
    </row>
    <row r="849" spans="2:9" x14ac:dyDescent="0.3">
      <c r="B849" s="77">
        <v>45014</v>
      </c>
      <c r="C849">
        <v>17080.7</v>
      </c>
      <c r="I849" s="77"/>
    </row>
    <row r="850" spans="2:9" x14ac:dyDescent="0.3">
      <c r="B850" s="77">
        <v>45013</v>
      </c>
      <c r="C850">
        <v>16951.7</v>
      </c>
      <c r="I850" s="77"/>
    </row>
    <row r="851" spans="2:9" x14ac:dyDescent="0.3">
      <c r="B851" s="77">
        <v>45012</v>
      </c>
      <c r="C851">
        <v>16985.7</v>
      </c>
      <c r="I851" s="77"/>
    </row>
    <row r="852" spans="2:9" x14ac:dyDescent="0.3">
      <c r="B852" s="77">
        <v>45009</v>
      </c>
      <c r="C852">
        <v>16945.05</v>
      </c>
      <c r="I852" s="77"/>
    </row>
    <row r="853" spans="2:9" x14ac:dyDescent="0.3">
      <c r="B853" s="77">
        <v>45008</v>
      </c>
      <c r="C853">
        <v>17076.900000000001</v>
      </c>
      <c r="I853" s="77"/>
    </row>
    <row r="854" spans="2:9" x14ac:dyDescent="0.3">
      <c r="B854" s="77">
        <v>45007</v>
      </c>
      <c r="C854">
        <v>17151.900000000001</v>
      </c>
      <c r="I854" s="77"/>
    </row>
    <row r="855" spans="2:9" x14ac:dyDescent="0.3">
      <c r="B855" s="77">
        <v>45006</v>
      </c>
      <c r="C855">
        <v>17107.5</v>
      </c>
      <c r="I855" s="77"/>
    </row>
    <row r="856" spans="2:9" x14ac:dyDescent="0.3">
      <c r="B856" s="77">
        <v>45005</v>
      </c>
      <c r="C856">
        <v>16988.400000000001</v>
      </c>
      <c r="I856" s="77"/>
    </row>
    <row r="857" spans="2:9" x14ac:dyDescent="0.3">
      <c r="B857" s="77">
        <v>45002</v>
      </c>
      <c r="C857">
        <v>17100.05</v>
      </c>
      <c r="I857" s="77"/>
    </row>
    <row r="858" spans="2:9" x14ac:dyDescent="0.3">
      <c r="B858" s="77">
        <v>45001</v>
      </c>
      <c r="C858">
        <v>16985.599999999999</v>
      </c>
      <c r="I858" s="77"/>
    </row>
    <row r="859" spans="2:9" x14ac:dyDescent="0.3">
      <c r="B859" s="77">
        <v>45000</v>
      </c>
      <c r="C859">
        <v>16972.150000000001</v>
      </c>
      <c r="I859" s="77"/>
    </row>
    <row r="860" spans="2:9" x14ac:dyDescent="0.3">
      <c r="B860" s="77">
        <v>44999</v>
      </c>
      <c r="C860">
        <v>17043.3</v>
      </c>
      <c r="I860" s="77"/>
    </row>
    <row r="861" spans="2:9" x14ac:dyDescent="0.3">
      <c r="B861" s="77">
        <v>44998</v>
      </c>
      <c r="C861">
        <v>17154.3</v>
      </c>
      <c r="I861" s="77"/>
    </row>
    <row r="862" spans="2:9" x14ac:dyDescent="0.3">
      <c r="B862" s="77">
        <v>44995</v>
      </c>
      <c r="C862">
        <v>17412.900000000001</v>
      </c>
      <c r="I862" s="77"/>
    </row>
    <row r="863" spans="2:9" x14ac:dyDescent="0.3">
      <c r="B863" s="77">
        <v>44994</v>
      </c>
      <c r="C863">
        <v>17589.599999999999</v>
      </c>
      <c r="I863" s="77"/>
    </row>
    <row r="864" spans="2:9" x14ac:dyDescent="0.3">
      <c r="B864" s="77">
        <v>44993</v>
      </c>
      <c r="C864">
        <v>17754.400000000001</v>
      </c>
      <c r="I864" s="77"/>
    </row>
    <row r="865" spans="2:9" x14ac:dyDescent="0.3">
      <c r="B865" s="77">
        <v>44991</v>
      </c>
      <c r="C865">
        <v>17711.45</v>
      </c>
      <c r="I865" s="77"/>
    </row>
    <row r="866" spans="2:9" x14ac:dyDescent="0.3">
      <c r="B866" s="77">
        <v>44988</v>
      </c>
      <c r="C866">
        <v>17594.349999999999</v>
      </c>
      <c r="I866" s="77"/>
    </row>
    <row r="867" spans="2:9" x14ac:dyDescent="0.3">
      <c r="B867" s="77">
        <v>44987</v>
      </c>
      <c r="C867">
        <v>17321.900000000001</v>
      </c>
      <c r="I867" s="77"/>
    </row>
    <row r="868" spans="2:9" x14ac:dyDescent="0.3">
      <c r="B868" s="77">
        <v>44986</v>
      </c>
      <c r="C868">
        <v>17450.900000000001</v>
      </c>
      <c r="I868" s="77"/>
    </row>
    <row r="869" spans="2:9" x14ac:dyDescent="0.3">
      <c r="B869" s="77">
        <v>44985</v>
      </c>
      <c r="C869">
        <v>17303.95</v>
      </c>
      <c r="I869" s="77"/>
    </row>
    <row r="870" spans="2:9" x14ac:dyDescent="0.3">
      <c r="B870" s="77">
        <v>44984</v>
      </c>
      <c r="C870">
        <v>17392.7</v>
      </c>
      <c r="I870" s="77"/>
    </row>
    <row r="871" spans="2:9" x14ac:dyDescent="0.3">
      <c r="B871" s="77">
        <v>44981</v>
      </c>
      <c r="C871">
        <v>17465.8</v>
      </c>
      <c r="I871" s="77"/>
    </row>
    <row r="872" spans="2:9" x14ac:dyDescent="0.3">
      <c r="B872" s="77">
        <v>44980</v>
      </c>
      <c r="C872">
        <v>17511.25</v>
      </c>
      <c r="I872" s="77"/>
    </row>
    <row r="873" spans="2:9" x14ac:dyDescent="0.3">
      <c r="B873" s="77">
        <v>44979</v>
      </c>
      <c r="C873">
        <v>17554.3</v>
      </c>
      <c r="I873" s="77"/>
    </row>
    <row r="874" spans="2:9" x14ac:dyDescent="0.3">
      <c r="B874" s="77">
        <v>44978</v>
      </c>
      <c r="C874">
        <v>17826.7</v>
      </c>
      <c r="I874" s="77"/>
    </row>
    <row r="875" spans="2:9" x14ac:dyDescent="0.3">
      <c r="B875" s="77">
        <v>44977</v>
      </c>
      <c r="C875">
        <v>17844.599999999999</v>
      </c>
      <c r="I875" s="77"/>
    </row>
    <row r="876" spans="2:9" x14ac:dyDescent="0.3">
      <c r="B876" s="77">
        <v>44974</v>
      </c>
      <c r="C876">
        <v>17944.2</v>
      </c>
      <c r="I876" s="77"/>
    </row>
    <row r="877" spans="2:9" x14ac:dyDescent="0.3">
      <c r="B877" s="77">
        <v>44973</v>
      </c>
      <c r="C877">
        <v>18035.849999999999</v>
      </c>
      <c r="I877" s="77"/>
    </row>
    <row r="878" spans="2:9" x14ac:dyDescent="0.3">
      <c r="B878" s="77">
        <v>44972</v>
      </c>
      <c r="C878">
        <v>18015.849999999999</v>
      </c>
      <c r="I878" s="77"/>
    </row>
    <row r="879" spans="2:9" x14ac:dyDescent="0.3">
      <c r="B879" s="77">
        <v>44971</v>
      </c>
      <c r="C879">
        <v>17929.849999999999</v>
      </c>
      <c r="I879" s="77"/>
    </row>
    <row r="880" spans="2:9" x14ac:dyDescent="0.3">
      <c r="B880" s="77">
        <v>44970</v>
      </c>
      <c r="C880">
        <v>17770.900000000001</v>
      </c>
      <c r="I880" s="77"/>
    </row>
    <row r="881" spans="2:9" x14ac:dyDescent="0.3">
      <c r="B881" s="77">
        <v>44967</v>
      </c>
      <c r="C881">
        <v>17856.5</v>
      </c>
      <c r="I881" s="77"/>
    </row>
    <row r="882" spans="2:9" x14ac:dyDescent="0.3">
      <c r="B882" s="77">
        <v>44966</v>
      </c>
      <c r="C882">
        <v>17893.45</v>
      </c>
      <c r="I882" s="77"/>
    </row>
    <row r="883" spans="2:9" x14ac:dyDescent="0.3">
      <c r="B883" s="77">
        <v>44965</v>
      </c>
      <c r="C883">
        <v>17871.7</v>
      </c>
      <c r="I883" s="77"/>
    </row>
    <row r="884" spans="2:9" x14ac:dyDescent="0.3">
      <c r="B884" s="77">
        <v>44964</v>
      </c>
      <c r="C884">
        <v>17721.5</v>
      </c>
      <c r="I884" s="77"/>
    </row>
    <row r="885" spans="2:9" x14ac:dyDescent="0.3">
      <c r="B885" s="77">
        <v>44963</v>
      </c>
      <c r="C885">
        <v>17764.599999999999</v>
      </c>
      <c r="I885" s="77"/>
    </row>
    <row r="886" spans="2:9" x14ac:dyDescent="0.3">
      <c r="B886" s="77">
        <v>44960</v>
      </c>
      <c r="C886">
        <v>17854.05</v>
      </c>
      <c r="I886" s="77"/>
    </row>
    <row r="887" spans="2:9" x14ac:dyDescent="0.3">
      <c r="B887" s="77">
        <v>44959</v>
      </c>
      <c r="C887">
        <v>17610.400000000001</v>
      </c>
      <c r="I887" s="77"/>
    </row>
    <row r="888" spans="2:9" x14ac:dyDescent="0.3">
      <c r="B888" s="77">
        <v>44958</v>
      </c>
      <c r="C888">
        <v>17616.3</v>
      </c>
      <c r="I888" s="77"/>
    </row>
    <row r="889" spans="2:9" x14ac:dyDescent="0.3">
      <c r="B889" s="77">
        <v>44957</v>
      </c>
      <c r="C889">
        <v>17662.150000000001</v>
      </c>
      <c r="I889" s="77"/>
    </row>
    <row r="890" spans="2:9" x14ac:dyDescent="0.3">
      <c r="B890" s="77">
        <v>44956</v>
      </c>
      <c r="C890">
        <v>17648.95</v>
      </c>
      <c r="I890" s="77"/>
    </row>
    <row r="891" spans="2:9" x14ac:dyDescent="0.3">
      <c r="B891" s="77">
        <v>44953</v>
      </c>
      <c r="C891">
        <v>17604.349999999999</v>
      </c>
      <c r="I891" s="77"/>
    </row>
    <row r="892" spans="2:9" x14ac:dyDescent="0.3">
      <c r="B892" s="77">
        <v>44951</v>
      </c>
      <c r="C892">
        <v>17891.95</v>
      </c>
      <c r="I892" s="77"/>
    </row>
    <row r="893" spans="2:9" x14ac:dyDescent="0.3">
      <c r="B893" s="77">
        <v>44950</v>
      </c>
      <c r="C893">
        <v>18118.3</v>
      </c>
      <c r="I893" s="77"/>
    </row>
    <row r="894" spans="2:9" x14ac:dyDescent="0.3">
      <c r="B894" s="77">
        <v>44949</v>
      </c>
      <c r="C894">
        <v>18118.55</v>
      </c>
      <c r="I894" s="77"/>
    </row>
    <row r="895" spans="2:9" x14ac:dyDescent="0.3">
      <c r="B895" s="77">
        <v>44946</v>
      </c>
      <c r="C895">
        <v>18027.650000000001</v>
      </c>
      <c r="I895" s="77"/>
    </row>
    <row r="896" spans="2:9" x14ac:dyDescent="0.3">
      <c r="B896" s="77">
        <v>44945</v>
      </c>
      <c r="C896">
        <v>18107.849999999999</v>
      </c>
      <c r="I896" s="77"/>
    </row>
    <row r="897" spans="2:9" x14ac:dyDescent="0.3">
      <c r="B897" s="77">
        <v>44944</v>
      </c>
      <c r="C897">
        <v>18165.349999999999</v>
      </c>
      <c r="I897" s="77"/>
    </row>
    <row r="898" spans="2:9" x14ac:dyDescent="0.3">
      <c r="B898" s="77">
        <v>44943</v>
      </c>
      <c r="C898">
        <v>18053.3</v>
      </c>
      <c r="I898" s="77"/>
    </row>
    <row r="899" spans="2:9" x14ac:dyDescent="0.3">
      <c r="B899" s="77">
        <v>44942</v>
      </c>
      <c r="C899">
        <v>17894.849999999999</v>
      </c>
      <c r="I899" s="77"/>
    </row>
    <row r="900" spans="2:9" x14ac:dyDescent="0.3">
      <c r="B900" s="77">
        <v>44939</v>
      </c>
      <c r="C900">
        <v>17956.599999999999</v>
      </c>
      <c r="I900" s="77"/>
    </row>
    <row r="901" spans="2:9" x14ac:dyDescent="0.3">
      <c r="B901" s="77">
        <v>44938</v>
      </c>
      <c r="C901">
        <v>17858.2</v>
      </c>
      <c r="I901" s="77"/>
    </row>
    <row r="902" spans="2:9" x14ac:dyDescent="0.3">
      <c r="B902" s="77">
        <v>44937</v>
      </c>
      <c r="C902">
        <v>17895.7</v>
      </c>
      <c r="I902" s="77"/>
    </row>
    <row r="903" spans="2:9" x14ac:dyDescent="0.3">
      <c r="B903" s="77">
        <v>44936</v>
      </c>
      <c r="C903">
        <v>17914.150000000001</v>
      </c>
      <c r="I903" s="77"/>
    </row>
    <row r="904" spans="2:9" x14ac:dyDescent="0.3">
      <c r="B904" s="77">
        <v>44935</v>
      </c>
      <c r="C904">
        <v>18101.2</v>
      </c>
      <c r="I904" s="77"/>
    </row>
    <row r="905" spans="2:9" x14ac:dyDescent="0.3">
      <c r="B905" s="77">
        <v>44932</v>
      </c>
      <c r="C905">
        <v>17859.45</v>
      </c>
      <c r="I905" s="77"/>
    </row>
    <row r="906" spans="2:9" x14ac:dyDescent="0.3">
      <c r="B906" s="77">
        <v>44931</v>
      </c>
      <c r="C906">
        <v>17992.150000000001</v>
      </c>
      <c r="I906" s="77"/>
    </row>
    <row r="907" spans="2:9" x14ac:dyDescent="0.3">
      <c r="B907" s="77">
        <v>44930</v>
      </c>
      <c r="C907">
        <v>18042.95</v>
      </c>
      <c r="I907" s="77"/>
    </row>
    <row r="908" spans="2:9" x14ac:dyDescent="0.3">
      <c r="B908" s="77">
        <v>44929</v>
      </c>
      <c r="C908">
        <v>18232.55</v>
      </c>
      <c r="I908" s="77"/>
    </row>
    <row r="909" spans="2:9" x14ac:dyDescent="0.3">
      <c r="B909" s="77">
        <v>44928</v>
      </c>
      <c r="C909">
        <v>18197.45</v>
      </c>
      <c r="I909" s="77"/>
    </row>
    <row r="910" spans="2:9" x14ac:dyDescent="0.3">
      <c r="B910" s="77">
        <v>44925</v>
      </c>
      <c r="C910">
        <v>18105.3</v>
      </c>
      <c r="I910" s="77"/>
    </row>
    <row r="911" spans="2:9" x14ac:dyDescent="0.3">
      <c r="B911" s="77">
        <v>44924</v>
      </c>
      <c r="C911">
        <v>18191</v>
      </c>
      <c r="I911" s="77"/>
    </row>
    <row r="912" spans="2:9" x14ac:dyDescent="0.3">
      <c r="B912" s="77">
        <v>44923</v>
      </c>
      <c r="C912">
        <v>18122.5</v>
      </c>
      <c r="I912" s="77"/>
    </row>
    <row r="913" spans="2:9" x14ac:dyDescent="0.3">
      <c r="B913" s="77">
        <v>44922</v>
      </c>
      <c r="C913">
        <v>18132.3</v>
      </c>
      <c r="I913" s="77"/>
    </row>
    <row r="914" spans="2:9" x14ac:dyDescent="0.3">
      <c r="B914" s="77">
        <v>44921</v>
      </c>
      <c r="C914">
        <v>18014.599999999999</v>
      </c>
      <c r="I914" s="77"/>
    </row>
    <row r="915" spans="2:9" x14ac:dyDescent="0.3">
      <c r="B915" s="77">
        <v>44918</v>
      </c>
      <c r="C915">
        <v>17806.8</v>
      </c>
      <c r="I915" s="77"/>
    </row>
    <row r="916" spans="2:9" x14ac:dyDescent="0.3">
      <c r="B916" s="77">
        <v>44917</v>
      </c>
      <c r="C916">
        <v>18127.349999999999</v>
      </c>
      <c r="I916" s="77"/>
    </row>
    <row r="917" spans="2:9" x14ac:dyDescent="0.3">
      <c r="B917" s="77">
        <v>44916</v>
      </c>
      <c r="C917">
        <v>18199.099999999999</v>
      </c>
      <c r="I917" s="77"/>
    </row>
    <row r="918" spans="2:9" x14ac:dyDescent="0.3">
      <c r="B918" s="77">
        <v>44915</v>
      </c>
      <c r="C918">
        <v>18385.3</v>
      </c>
      <c r="I918" s="77"/>
    </row>
    <row r="919" spans="2:9" x14ac:dyDescent="0.3">
      <c r="B919" s="77">
        <v>44914</v>
      </c>
      <c r="C919">
        <v>18420.45</v>
      </c>
      <c r="I919" s="77"/>
    </row>
    <row r="920" spans="2:9" x14ac:dyDescent="0.3">
      <c r="B920" s="77">
        <v>44911</v>
      </c>
      <c r="C920">
        <v>18269</v>
      </c>
      <c r="I920" s="77"/>
    </row>
    <row r="921" spans="2:9" x14ac:dyDescent="0.3">
      <c r="B921" s="77">
        <v>44910</v>
      </c>
      <c r="C921">
        <v>18414.900000000001</v>
      </c>
      <c r="I921" s="77"/>
    </row>
    <row r="922" spans="2:9" x14ac:dyDescent="0.3">
      <c r="B922" s="77">
        <v>44909</v>
      </c>
      <c r="C922">
        <v>18660.3</v>
      </c>
      <c r="I922" s="77"/>
    </row>
    <row r="923" spans="2:9" x14ac:dyDescent="0.3">
      <c r="B923" s="77">
        <v>44908</v>
      </c>
      <c r="C923">
        <v>18608</v>
      </c>
      <c r="I923" s="77"/>
    </row>
    <row r="924" spans="2:9" x14ac:dyDescent="0.3">
      <c r="B924" s="77">
        <v>44907</v>
      </c>
      <c r="C924">
        <v>18497.150000000001</v>
      </c>
      <c r="I924" s="77"/>
    </row>
    <row r="925" spans="2:9" x14ac:dyDescent="0.3">
      <c r="B925" s="77">
        <v>44904</v>
      </c>
      <c r="C925">
        <v>18496.599999999999</v>
      </c>
      <c r="I925" s="77"/>
    </row>
    <row r="926" spans="2:9" x14ac:dyDescent="0.3">
      <c r="B926" s="77">
        <v>44903</v>
      </c>
      <c r="C926">
        <v>18609.349999999999</v>
      </c>
      <c r="I926" s="77"/>
    </row>
    <row r="927" spans="2:9" x14ac:dyDescent="0.3">
      <c r="B927" s="77">
        <v>44902</v>
      </c>
      <c r="C927">
        <v>18560.5</v>
      </c>
      <c r="I927" s="77"/>
    </row>
    <row r="928" spans="2:9" x14ac:dyDescent="0.3">
      <c r="B928" s="77">
        <v>44901</v>
      </c>
      <c r="C928">
        <v>18642.75</v>
      </c>
      <c r="I928" s="77"/>
    </row>
    <row r="929" spans="2:9" x14ac:dyDescent="0.3">
      <c r="B929" s="77">
        <v>44900</v>
      </c>
      <c r="C929">
        <v>18701.05</v>
      </c>
      <c r="I929" s="77"/>
    </row>
    <row r="930" spans="2:9" x14ac:dyDescent="0.3">
      <c r="B930" s="77">
        <v>44897</v>
      </c>
      <c r="C930">
        <v>18696.099999999999</v>
      </c>
      <c r="I930" s="77"/>
    </row>
    <row r="931" spans="2:9" x14ac:dyDescent="0.3">
      <c r="B931" s="77">
        <v>44896</v>
      </c>
      <c r="C931">
        <v>18812.5</v>
      </c>
      <c r="I931" s="77"/>
    </row>
    <row r="932" spans="2:9" x14ac:dyDescent="0.3">
      <c r="B932" s="77">
        <v>44895</v>
      </c>
      <c r="C932">
        <v>18758.349999999999</v>
      </c>
      <c r="I932" s="77"/>
    </row>
    <row r="933" spans="2:9" x14ac:dyDescent="0.3">
      <c r="B933" s="77">
        <v>44894</v>
      </c>
      <c r="C933">
        <v>18618.05</v>
      </c>
      <c r="I933" s="77"/>
    </row>
    <row r="934" spans="2:9" x14ac:dyDescent="0.3">
      <c r="B934" s="77">
        <v>44893</v>
      </c>
      <c r="C934">
        <v>18562.75</v>
      </c>
      <c r="I934" s="77"/>
    </row>
    <row r="935" spans="2:9" x14ac:dyDescent="0.3">
      <c r="B935" s="77">
        <v>44890</v>
      </c>
      <c r="C935">
        <v>18512.75</v>
      </c>
      <c r="I935" s="77"/>
    </row>
    <row r="936" spans="2:9" x14ac:dyDescent="0.3">
      <c r="B936" s="77">
        <v>44889</v>
      </c>
      <c r="C936">
        <v>18484.099999999999</v>
      </c>
      <c r="I936" s="77"/>
    </row>
    <row r="937" spans="2:9" x14ac:dyDescent="0.3">
      <c r="B937" s="77">
        <v>44888</v>
      </c>
      <c r="C937">
        <v>18267.25</v>
      </c>
      <c r="I937" s="77"/>
    </row>
    <row r="938" spans="2:9" x14ac:dyDescent="0.3">
      <c r="B938" s="77">
        <v>44887</v>
      </c>
      <c r="C938">
        <v>18244.2</v>
      </c>
      <c r="I938" s="77"/>
    </row>
    <row r="939" spans="2:9" x14ac:dyDescent="0.3">
      <c r="B939" s="77">
        <v>44886</v>
      </c>
      <c r="C939">
        <v>18159.95</v>
      </c>
      <c r="I939" s="77"/>
    </row>
    <row r="940" spans="2:9" x14ac:dyDescent="0.3">
      <c r="B940" s="77">
        <v>44883</v>
      </c>
      <c r="C940">
        <v>18307.650000000001</v>
      </c>
      <c r="I940" s="77"/>
    </row>
    <row r="941" spans="2:9" x14ac:dyDescent="0.3">
      <c r="B941" s="77">
        <v>44882</v>
      </c>
      <c r="C941">
        <v>18343.900000000001</v>
      </c>
      <c r="I941" s="77"/>
    </row>
    <row r="942" spans="2:9" x14ac:dyDescent="0.3">
      <c r="B942" s="77">
        <v>44881</v>
      </c>
      <c r="C942">
        <v>18409.650000000001</v>
      </c>
      <c r="I942" s="77"/>
    </row>
    <row r="943" spans="2:9" x14ac:dyDescent="0.3">
      <c r="B943" s="77">
        <v>44880</v>
      </c>
      <c r="C943">
        <v>18403.400000000001</v>
      </c>
      <c r="I943" s="77"/>
    </row>
    <row r="944" spans="2:9" x14ac:dyDescent="0.3">
      <c r="B944" s="77">
        <v>44879</v>
      </c>
      <c r="C944">
        <v>18329.150000000001</v>
      </c>
      <c r="I944" s="77"/>
    </row>
    <row r="945" spans="2:9" x14ac:dyDescent="0.3">
      <c r="B945" s="77">
        <v>44876</v>
      </c>
      <c r="C945">
        <v>18349.7</v>
      </c>
      <c r="I945" s="77"/>
    </row>
    <row r="946" spans="2:9" x14ac:dyDescent="0.3">
      <c r="B946" s="77">
        <v>44875</v>
      </c>
      <c r="C946">
        <v>18028.2</v>
      </c>
      <c r="I946" s="77"/>
    </row>
    <row r="947" spans="2:9" x14ac:dyDescent="0.3">
      <c r="B947" s="77">
        <v>44874</v>
      </c>
      <c r="C947">
        <v>18157</v>
      </c>
      <c r="I947" s="77"/>
    </row>
    <row r="948" spans="2:9" x14ac:dyDescent="0.3">
      <c r="B948" s="77">
        <v>44872</v>
      </c>
      <c r="C948">
        <v>18202.8</v>
      </c>
      <c r="I948" s="77"/>
    </row>
    <row r="949" spans="2:9" x14ac:dyDescent="0.3">
      <c r="B949" s="77">
        <v>44869</v>
      </c>
      <c r="C949">
        <v>18117.150000000001</v>
      </c>
      <c r="I949" s="77"/>
    </row>
    <row r="950" spans="2:9" x14ac:dyDescent="0.3">
      <c r="B950" s="77">
        <v>44868</v>
      </c>
      <c r="C950">
        <v>18052.7</v>
      </c>
      <c r="I950" s="77"/>
    </row>
    <row r="951" spans="2:9" x14ac:dyDescent="0.3">
      <c r="B951" s="77">
        <v>44867</v>
      </c>
      <c r="C951">
        <v>18082.849999999999</v>
      </c>
      <c r="I951" s="77"/>
    </row>
    <row r="952" spans="2:9" x14ac:dyDescent="0.3">
      <c r="B952" s="77">
        <v>44866</v>
      </c>
      <c r="C952">
        <v>18145.400000000001</v>
      </c>
      <c r="I952" s="77"/>
    </row>
    <row r="953" spans="2:9" x14ac:dyDescent="0.3">
      <c r="B953" s="77">
        <v>44865</v>
      </c>
      <c r="C953">
        <v>18012.2</v>
      </c>
      <c r="I953" s="77"/>
    </row>
    <row r="954" spans="2:9" x14ac:dyDescent="0.3">
      <c r="B954" s="77">
        <v>44862</v>
      </c>
      <c r="C954">
        <v>17786.8</v>
      </c>
      <c r="I954" s="77"/>
    </row>
    <row r="955" spans="2:9" x14ac:dyDescent="0.3">
      <c r="B955" s="77">
        <v>44861</v>
      </c>
      <c r="C955">
        <v>17736.95</v>
      </c>
      <c r="I955" s="77"/>
    </row>
    <row r="956" spans="2:9" x14ac:dyDescent="0.3">
      <c r="B956" s="77">
        <v>44859</v>
      </c>
      <c r="C956">
        <v>17656.349999999999</v>
      </c>
      <c r="I956" s="77"/>
    </row>
    <row r="957" spans="2:9" x14ac:dyDescent="0.3">
      <c r="B957" s="77">
        <v>44858</v>
      </c>
      <c r="C957">
        <v>17730.75</v>
      </c>
      <c r="I957" s="77"/>
    </row>
    <row r="958" spans="2:9" x14ac:dyDescent="0.3">
      <c r="B958" s="77">
        <v>44855</v>
      </c>
      <c r="C958">
        <v>17576.3</v>
      </c>
      <c r="I958" s="77"/>
    </row>
    <row r="959" spans="2:9" x14ac:dyDescent="0.3">
      <c r="B959" s="77">
        <v>44854</v>
      </c>
      <c r="C959">
        <v>17563.95</v>
      </c>
      <c r="I959" s="77"/>
    </row>
    <row r="960" spans="2:9" x14ac:dyDescent="0.3">
      <c r="B960" s="77">
        <v>44853</v>
      </c>
      <c r="C960">
        <v>17512.25</v>
      </c>
      <c r="I960" s="77"/>
    </row>
    <row r="961" spans="2:9" x14ac:dyDescent="0.3">
      <c r="B961" s="77">
        <v>44852</v>
      </c>
      <c r="C961">
        <v>17486.95</v>
      </c>
      <c r="I961" s="77"/>
    </row>
    <row r="962" spans="2:9" x14ac:dyDescent="0.3">
      <c r="B962" s="77">
        <v>44851</v>
      </c>
      <c r="C962">
        <v>17311.8</v>
      </c>
      <c r="I962" s="77"/>
    </row>
    <row r="963" spans="2:9" x14ac:dyDescent="0.3">
      <c r="B963" s="77">
        <v>44848</v>
      </c>
      <c r="C963">
        <v>17185.7</v>
      </c>
      <c r="I963" s="77"/>
    </row>
    <row r="964" spans="2:9" x14ac:dyDescent="0.3">
      <c r="B964" s="77">
        <v>44847</v>
      </c>
      <c r="C964">
        <v>17014.349999999999</v>
      </c>
      <c r="I964" s="77"/>
    </row>
    <row r="965" spans="2:9" x14ac:dyDescent="0.3">
      <c r="B965" s="77">
        <v>44846</v>
      </c>
      <c r="C965">
        <v>17123.599999999999</v>
      </c>
      <c r="I965" s="77"/>
    </row>
    <row r="966" spans="2:9" x14ac:dyDescent="0.3">
      <c r="B966" s="77">
        <v>44845</v>
      </c>
      <c r="C966">
        <v>16983.55</v>
      </c>
      <c r="I966" s="77"/>
    </row>
    <row r="967" spans="2:9" x14ac:dyDescent="0.3">
      <c r="B967" s="77">
        <v>44844</v>
      </c>
      <c r="C967">
        <v>17241</v>
      </c>
      <c r="I967" s="77"/>
    </row>
    <row r="968" spans="2:9" x14ac:dyDescent="0.3">
      <c r="B968" s="77">
        <v>44841</v>
      </c>
      <c r="C968">
        <v>17314.650000000001</v>
      </c>
      <c r="I968" s="77"/>
    </row>
    <row r="969" spans="2:9" x14ac:dyDescent="0.3">
      <c r="B969" s="77">
        <v>44840</v>
      </c>
      <c r="C969">
        <v>17331.8</v>
      </c>
      <c r="I969" s="77"/>
    </row>
    <row r="970" spans="2:9" x14ac:dyDescent="0.3">
      <c r="B970" s="77">
        <v>44838</v>
      </c>
      <c r="C970">
        <v>17274.3</v>
      </c>
      <c r="I970" s="77"/>
    </row>
    <row r="971" spans="2:9" x14ac:dyDescent="0.3">
      <c r="B971" s="77">
        <v>44837</v>
      </c>
      <c r="C971">
        <v>16887.349999999999</v>
      </c>
      <c r="I971" s="77"/>
    </row>
    <row r="972" spans="2:9" x14ac:dyDescent="0.3">
      <c r="B972" s="77">
        <v>44834</v>
      </c>
      <c r="C972">
        <v>17094.349999999999</v>
      </c>
      <c r="I972" s="77"/>
    </row>
    <row r="973" spans="2:9" x14ac:dyDescent="0.3">
      <c r="B973" s="77">
        <v>44833</v>
      </c>
      <c r="C973">
        <v>16818.099999999999</v>
      </c>
      <c r="I973" s="77"/>
    </row>
    <row r="974" spans="2:9" x14ac:dyDescent="0.3">
      <c r="B974" s="77">
        <v>44832</v>
      </c>
      <c r="C974">
        <v>16858.599999999999</v>
      </c>
      <c r="I974" s="77"/>
    </row>
    <row r="975" spans="2:9" x14ac:dyDescent="0.3">
      <c r="B975" s="77">
        <v>44831</v>
      </c>
      <c r="C975">
        <v>17007.400000000001</v>
      </c>
      <c r="I975" s="77"/>
    </row>
    <row r="976" spans="2:9" x14ac:dyDescent="0.3">
      <c r="B976" s="77">
        <v>44830</v>
      </c>
      <c r="C976">
        <v>17016.3</v>
      </c>
      <c r="I976" s="77"/>
    </row>
    <row r="977" spans="2:9" x14ac:dyDescent="0.3">
      <c r="B977" s="77">
        <v>44827</v>
      </c>
      <c r="C977">
        <v>17327.349999999999</v>
      </c>
      <c r="I977" s="77"/>
    </row>
    <row r="978" spans="2:9" x14ac:dyDescent="0.3">
      <c r="B978" s="77">
        <v>44826</v>
      </c>
      <c r="C978">
        <v>17629.8</v>
      </c>
      <c r="I978" s="77"/>
    </row>
    <row r="979" spans="2:9" x14ac:dyDescent="0.3">
      <c r="B979" s="77">
        <v>44825</v>
      </c>
      <c r="C979">
        <v>17718.349999999999</v>
      </c>
      <c r="I979" s="77"/>
    </row>
    <row r="980" spans="2:9" x14ac:dyDescent="0.3">
      <c r="B980" s="77">
        <v>44824</v>
      </c>
      <c r="C980">
        <v>17816.25</v>
      </c>
      <c r="I980" s="77"/>
    </row>
    <row r="981" spans="2:9" x14ac:dyDescent="0.3">
      <c r="B981" s="77">
        <v>44823</v>
      </c>
      <c r="C981">
        <v>17622.25</v>
      </c>
      <c r="I981" s="77"/>
    </row>
    <row r="982" spans="2:9" x14ac:dyDescent="0.3">
      <c r="B982" s="77">
        <v>44820</v>
      </c>
      <c r="C982">
        <v>17530.849999999999</v>
      </c>
      <c r="I982" s="77"/>
    </row>
    <row r="983" spans="2:9" x14ac:dyDescent="0.3">
      <c r="B983" s="77">
        <v>44819</v>
      </c>
      <c r="C983">
        <v>17877.400000000001</v>
      </c>
      <c r="I983" s="77"/>
    </row>
    <row r="984" spans="2:9" x14ac:dyDescent="0.3">
      <c r="B984" s="77">
        <v>44818</v>
      </c>
      <c r="C984">
        <v>18003.75</v>
      </c>
      <c r="I984" s="77"/>
    </row>
    <row r="985" spans="2:9" x14ac:dyDescent="0.3">
      <c r="B985" s="77">
        <v>44817</v>
      </c>
      <c r="C985">
        <v>18070.05</v>
      </c>
      <c r="I985" s="77"/>
    </row>
    <row r="986" spans="2:9" x14ac:dyDescent="0.3">
      <c r="B986" s="77">
        <v>44816</v>
      </c>
      <c r="C986">
        <v>17936.349999999999</v>
      </c>
      <c r="I986" s="77"/>
    </row>
    <row r="987" spans="2:9" x14ac:dyDescent="0.3">
      <c r="B987" s="77">
        <v>44813</v>
      </c>
      <c r="C987">
        <v>17833.349999999999</v>
      </c>
      <c r="I987" s="77"/>
    </row>
    <row r="988" spans="2:9" x14ac:dyDescent="0.3">
      <c r="B988" s="77">
        <v>44812</v>
      </c>
      <c r="C988">
        <v>17798.75</v>
      </c>
      <c r="I988" s="77"/>
    </row>
    <row r="989" spans="2:9" x14ac:dyDescent="0.3">
      <c r="B989" s="77">
        <v>44811</v>
      </c>
      <c r="C989">
        <v>17624.400000000001</v>
      </c>
      <c r="I989" s="77"/>
    </row>
    <row r="990" spans="2:9" x14ac:dyDescent="0.3">
      <c r="B990" s="77">
        <v>44810</v>
      </c>
      <c r="C990">
        <v>17655.599999999999</v>
      </c>
      <c r="I990" s="77"/>
    </row>
    <row r="991" spans="2:9" x14ac:dyDescent="0.3">
      <c r="B991" s="77">
        <v>44809</v>
      </c>
      <c r="C991">
        <v>17665.8</v>
      </c>
      <c r="I991" s="77"/>
    </row>
    <row r="992" spans="2:9" x14ac:dyDescent="0.3">
      <c r="B992" s="77">
        <v>44806</v>
      </c>
      <c r="C992">
        <v>17539.45</v>
      </c>
      <c r="I992" s="77"/>
    </row>
    <row r="993" spans="2:9" x14ac:dyDescent="0.3">
      <c r="B993" s="77">
        <v>44805</v>
      </c>
      <c r="C993">
        <v>17542.8</v>
      </c>
      <c r="I993" s="77"/>
    </row>
    <row r="994" spans="2:9" x14ac:dyDescent="0.3">
      <c r="B994" s="77">
        <v>44803</v>
      </c>
      <c r="C994">
        <v>17759.3</v>
      </c>
      <c r="I994" s="77"/>
    </row>
    <row r="995" spans="2:9" x14ac:dyDescent="0.3">
      <c r="B995" s="77">
        <v>44802</v>
      </c>
      <c r="C995">
        <v>17312.900000000001</v>
      </c>
      <c r="I995" s="77"/>
    </row>
    <row r="996" spans="2:9" x14ac:dyDescent="0.3">
      <c r="B996" s="77">
        <v>44799</v>
      </c>
      <c r="C996">
        <v>17558.900000000001</v>
      </c>
      <c r="I996" s="77"/>
    </row>
    <row r="997" spans="2:9" x14ac:dyDescent="0.3">
      <c r="B997" s="77">
        <v>44798</v>
      </c>
      <c r="C997">
        <v>17522.45</v>
      </c>
      <c r="I997" s="77"/>
    </row>
    <row r="998" spans="2:9" x14ac:dyDescent="0.3">
      <c r="B998" s="77">
        <v>44797</v>
      </c>
      <c r="C998">
        <v>17604.95</v>
      </c>
      <c r="I998" s="77"/>
    </row>
    <row r="999" spans="2:9" x14ac:dyDescent="0.3">
      <c r="B999" s="77">
        <v>44796</v>
      </c>
      <c r="C999">
        <v>17577.5</v>
      </c>
      <c r="I999" s="77"/>
    </row>
    <row r="1000" spans="2:9" x14ac:dyDescent="0.3">
      <c r="B1000" s="77">
        <v>44795</v>
      </c>
      <c r="C1000">
        <v>17490.7</v>
      </c>
      <c r="I1000" s="77"/>
    </row>
    <row r="1001" spans="2:9" x14ac:dyDescent="0.3">
      <c r="B1001" s="77">
        <v>44792</v>
      </c>
      <c r="C1001">
        <v>17758.45</v>
      </c>
      <c r="I1001" s="77"/>
    </row>
    <row r="1002" spans="2:9" x14ac:dyDescent="0.3">
      <c r="B1002" s="77">
        <v>44791</v>
      </c>
      <c r="C1002">
        <v>17956.5</v>
      </c>
      <c r="I1002" s="77"/>
    </row>
    <row r="1003" spans="2:9" x14ac:dyDescent="0.3">
      <c r="B1003" s="77">
        <v>44790</v>
      </c>
      <c r="C1003">
        <v>17944.25</v>
      </c>
      <c r="I1003" s="77"/>
    </row>
    <row r="1004" spans="2:9" x14ac:dyDescent="0.3">
      <c r="B1004" s="77">
        <v>44789</v>
      </c>
      <c r="C1004">
        <v>17825.25</v>
      </c>
      <c r="I1004" s="77"/>
    </row>
    <row r="1005" spans="2:9" x14ac:dyDescent="0.3">
      <c r="B1005" s="77">
        <v>44785</v>
      </c>
      <c r="C1005">
        <v>17698.150000000001</v>
      </c>
      <c r="I1005" s="77"/>
    </row>
    <row r="1006" spans="2:9" x14ac:dyDescent="0.3">
      <c r="B1006" s="77">
        <v>44784</v>
      </c>
      <c r="C1006">
        <v>17659</v>
      </c>
      <c r="I1006" s="77"/>
    </row>
    <row r="1007" spans="2:9" x14ac:dyDescent="0.3">
      <c r="B1007" s="77">
        <v>44783</v>
      </c>
      <c r="C1007">
        <v>17534.75</v>
      </c>
      <c r="I1007" s="77"/>
    </row>
    <row r="1008" spans="2:9" x14ac:dyDescent="0.3">
      <c r="B1008" s="77">
        <v>44781</v>
      </c>
      <c r="C1008">
        <v>17525.099999999999</v>
      </c>
      <c r="I1008" s="77"/>
    </row>
    <row r="1009" spans="2:9" x14ac:dyDescent="0.3">
      <c r="B1009" s="77">
        <v>44778</v>
      </c>
      <c r="C1009">
        <v>17397.5</v>
      </c>
      <c r="I1009" s="77"/>
    </row>
    <row r="1010" spans="2:9" x14ac:dyDescent="0.3">
      <c r="B1010" s="77">
        <v>44777</v>
      </c>
      <c r="C1010">
        <v>17382</v>
      </c>
      <c r="I1010" s="77"/>
    </row>
    <row r="1011" spans="2:9" x14ac:dyDescent="0.3">
      <c r="B1011" s="77">
        <v>44776</v>
      </c>
      <c r="C1011">
        <v>17388.150000000001</v>
      </c>
      <c r="I1011" s="77"/>
    </row>
    <row r="1012" spans="2:9" x14ac:dyDescent="0.3">
      <c r="B1012" s="77">
        <v>44775</v>
      </c>
      <c r="C1012">
        <v>17345.45</v>
      </c>
      <c r="I1012" s="77"/>
    </row>
    <row r="1013" spans="2:9" x14ac:dyDescent="0.3">
      <c r="B1013" s="77">
        <v>44774</v>
      </c>
      <c r="C1013">
        <v>17340.05</v>
      </c>
      <c r="I1013" s="77"/>
    </row>
    <row r="1014" spans="2:9" x14ac:dyDescent="0.3">
      <c r="B1014" s="77">
        <v>44771</v>
      </c>
      <c r="C1014">
        <v>17158.25</v>
      </c>
      <c r="I1014" s="77"/>
    </row>
    <row r="1015" spans="2:9" x14ac:dyDescent="0.3">
      <c r="B1015" s="77">
        <v>44770</v>
      </c>
      <c r="C1015">
        <v>16929.599999999999</v>
      </c>
      <c r="I1015" s="77"/>
    </row>
    <row r="1016" spans="2:9" x14ac:dyDescent="0.3">
      <c r="B1016" s="77">
        <v>44769</v>
      </c>
      <c r="C1016">
        <v>16641.8</v>
      </c>
      <c r="I1016" s="77"/>
    </row>
    <row r="1017" spans="2:9" x14ac:dyDescent="0.3">
      <c r="B1017" s="77">
        <v>44768</v>
      </c>
      <c r="C1017">
        <v>16483.849999999999</v>
      </c>
      <c r="I1017" s="77"/>
    </row>
    <row r="1018" spans="2:9" x14ac:dyDescent="0.3">
      <c r="B1018" s="77">
        <v>44767</v>
      </c>
      <c r="C1018">
        <v>16631</v>
      </c>
      <c r="I1018" s="77"/>
    </row>
    <row r="1019" spans="2:9" x14ac:dyDescent="0.3">
      <c r="B1019" s="77">
        <v>44764</v>
      </c>
      <c r="C1019">
        <v>16719.45</v>
      </c>
      <c r="I1019" s="77"/>
    </row>
    <row r="1020" spans="2:9" x14ac:dyDescent="0.3">
      <c r="B1020" s="77">
        <v>44763</v>
      </c>
      <c r="C1020">
        <v>16605.25</v>
      </c>
      <c r="I1020" s="77"/>
    </row>
    <row r="1021" spans="2:9" x14ac:dyDescent="0.3">
      <c r="B1021" s="77">
        <v>44762</v>
      </c>
      <c r="C1021">
        <v>16520.849999999999</v>
      </c>
      <c r="I1021" s="77"/>
    </row>
    <row r="1022" spans="2:9" x14ac:dyDescent="0.3">
      <c r="B1022" s="77">
        <v>44761</v>
      </c>
      <c r="C1022">
        <v>16340.55</v>
      </c>
      <c r="I1022" s="77"/>
    </row>
    <row r="1023" spans="2:9" x14ac:dyDescent="0.3">
      <c r="B1023" s="77">
        <v>44760</v>
      </c>
      <c r="C1023">
        <v>16278.5</v>
      </c>
      <c r="I1023" s="77"/>
    </row>
    <row r="1024" spans="2:9" x14ac:dyDescent="0.3">
      <c r="B1024" s="77">
        <v>44757</v>
      </c>
      <c r="C1024">
        <v>16049.2</v>
      </c>
      <c r="I1024" s="77"/>
    </row>
    <row r="1025" spans="2:9" x14ac:dyDescent="0.3">
      <c r="B1025" s="77">
        <v>44756</v>
      </c>
      <c r="C1025">
        <v>15938.65</v>
      </c>
      <c r="I1025" s="77"/>
    </row>
    <row r="1026" spans="2:9" x14ac:dyDescent="0.3">
      <c r="B1026" s="77">
        <v>44755</v>
      </c>
      <c r="C1026">
        <v>15966.65</v>
      </c>
      <c r="I1026" s="77"/>
    </row>
    <row r="1027" spans="2:9" x14ac:dyDescent="0.3">
      <c r="B1027" s="77">
        <v>44754</v>
      </c>
      <c r="C1027">
        <v>16058.3</v>
      </c>
      <c r="I1027" s="77"/>
    </row>
    <row r="1028" spans="2:9" x14ac:dyDescent="0.3">
      <c r="B1028" s="77">
        <v>44753</v>
      </c>
      <c r="C1028">
        <v>16216</v>
      </c>
      <c r="I1028" s="77"/>
    </row>
    <row r="1029" spans="2:9" x14ac:dyDescent="0.3">
      <c r="B1029" s="77">
        <v>44750</v>
      </c>
      <c r="C1029">
        <v>16220.6</v>
      </c>
      <c r="I1029" s="77"/>
    </row>
    <row r="1030" spans="2:9" x14ac:dyDescent="0.3">
      <c r="B1030" s="77">
        <v>44749</v>
      </c>
      <c r="C1030">
        <v>16132.9</v>
      </c>
      <c r="I1030" s="77"/>
    </row>
    <row r="1031" spans="2:9" x14ac:dyDescent="0.3">
      <c r="B1031" s="77">
        <v>44748</v>
      </c>
      <c r="C1031">
        <v>15989.8</v>
      </c>
      <c r="I1031" s="77"/>
    </row>
    <row r="1032" spans="2:9" x14ac:dyDescent="0.3">
      <c r="B1032" s="77">
        <v>44747</v>
      </c>
      <c r="C1032">
        <v>15810.85</v>
      </c>
      <c r="I1032" s="77"/>
    </row>
    <row r="1033" spans="2:9" x14ac:dyDescent="0.3">
      <c r="B1033" s="77">
        <v>44746</v>
      </c>
      <c r="C1033">
        <v>15835.35</v>
      </c>
      <c r="I1033" s="77"/>
    </row>
    <row r="1034" spans="2:9" x14ac:dyDescent="0.3">
      <c r="B1034" s="77">
        <v>44743</v>
      </c>
      <c r="C1034">
        <v>15752.05</v>
      </c>
      <c r="I1034" s="77"/>
    </row>
    <row r="1035" spans="2:9" x14ac:dyDescent="0.3">
      <c r="B1035" s="77">
        <v>44742</v>
      </c>
      <c r="C1035">
        <v>15780.25</v>
      </c>
      <c r="I1035" s="77"/>
    </row>
    <row r="1036" spans="2:9" x14ac:dyDescent="0.3">
      <c r="B1036" s="77">
        <v>44741</v>
      </c>
      <c r="C1036">
        <v>15799.1</v>
      </c>
      <c r="I1036" s="77"/>
    </row>
    <row r="1037" spans="2:9" x14ac:dyDescent="0.3">
      <c r="B1037" s="77">
        <v>44740</v>
      </c>
      <c r="C1037">
        <v>15850.2</v>
      </c>
      <c r="I1037" s="77"/>
    </row>
    <row r="1038" spans="2:9" x14ac:dyDescent="0.3">
      <c r="B1038" s="77">
        <v>44739</v>
      </c>
      <c r="C1038">
        <v>15832.05</v>
      </c>
      <c r="I1038" s="77"/>
    </row>
    <row r="1039" spans="2:9" x14ac:dyDescent="0.3">
      <c r="B1039" s="77">
        <v>44736</v>
      </c>
      <c r="C1039">
        <v>15699.25</v>
      </c>
      <c r="I1039" s="77"/>
    </row>
    <row r="1040" spans="2:9" x14ac:dyDescent="0.3">
      <c r="B1040" s="77">
        <v>44735</v>
      </c>
      <c r="C1040">
        <v>15556.65</v>
      </c>
      <c r="I1040" s="77"/>
    </row>
    <row r="1041" spans="2:9" x14ac:dyDescent="0.3">
      <c r="B1041" s="77">
        <v>44734</v>
      </c>
      <c r="C1041">
        <v>15413.3</v>
      </c>
      <c r="I1041" s="77"/>
    </row>
    <row r="1042" spans="2:9" x14ac:dyDescent="0.3">
      <c r="B1042" s="77">
        <v>44733</v>
      </c>
      <c r="C1042">
        <v>15638.8</v>
      </c>
      <c r="I1042" s="77"/>
    </row>
    <row r="1043" spans="2:9" x14ac:dyDescent="0.3">
      <c r="B1043" s="77">
        <v>44732</v>
      </c>
      <c r="C1043">
        <v>15350.15</v>
      </c>
      <c r="I1043" s="77"/>
    </row>
    <row r="1044" spans="2:9" x14ac:dyDescent="0.3">
      <c r="B1044" s="77">
        <v>44729</v>
      </c>
      <c r="C1044">
        <v>15293.5</v>
      </c>
      <c r="I1044" s="77"/>
    </row>
    <row r="1045" spans="2:9" x14ac:dyDescent="0.3">
      <c r="B1045" s="77">
        <v>44728</v>
      </c>
      <c r="C1045">
        <v>15360.6</v>
      </c>
      <c r="I1045" s="77"/>
    </row>
    <row r="1046" spans="2:9" x14ac:dyDescent="0.3">
      <c r="B1046" s="77">
        <v>44727</v>
      </c>
      <c r="C1046">
        <v>15692.15</v>
      </c>
      <c r="I1046" s="77"/>
    </row>
    <row r="1047" spans="2:9" x14ac:dyDescent="0.3">
      <c r="B1047" s="77">
        <v>44726</v>
      </c>
      <c r="C1047">
        <v>15732.1</v>
      </c>
      <c r="I1047" s="77"/>
    </row>
    <row r="1048" spans="2:9" x14ac:dyDescent="0.3">
      <c r="B1048" s="77">
        <v>44725</v>
      </c>
      <c r="C1048">
        <v>15774.4</v>
      </c>
      <c r="I1048" s="77"/>
    </row>
    <row r="1049" spans="2:9" x14ac:dyDescent="0.3">
      <c r="B1049" s="77">
        <v>44722</v>
      </c>
      <c r="C1049">
        <v>16201.8</v>
      </c>
      <c r="I1049" s="77"/>
    </row>
    <row r="1050" spans="2:9" x14ac:dyDescent="0.3">
      <c r="B1050" s="77">
        <v>44721</v>
      </c>
      <c r="C1050">
        <v>16478.099999999999</v>
      </c>
      <c r="I1050" s="77"/>
    </row>
    <row r="1051" spans="2:9" x14ac:dyDescent="0.3">
      <c r="B1051" s="77">
        <v>44720</v>
      </c>
      <c r="C1051">
        <v>16356.25</v>
      </c>
      <c r="I1051" s="77"/>
    </row>
    <row r="1052" spans="2:9" x14ac:dyDescent="0.3">
      <c r="B1052" s="77">
        <v>44719</v>
      </c>
      <c r="C1052">
        <v>16416.349999999999</v>
      </c>
      <c r="I1052" s="77"/>
    </row>
    <row r="1053" spans="2:9" x14ac:dyDescent="0.3">
      <c r="B1053" s="77">
        <v>44718</v>
      </c>
      <c r="C1053">
        <v>16569.55</v>
      </c>
      <c r="I1053" s="77"/>
    </row>
    <row r="1054" spans="2:9" x14ac:dyDescent="0.3">
      <c r="B1054" s="77">
        <v>44715</v>
      </c>
      <c r="C1054">
        <v>16584.3</v>
      </c>
      <c r="I1054" s="77"/>
    </row>
    <row r="1055" spans="2:9" x14ac:dyDescent="0.3">
      <c r="B1055" s="77">
        <v>44714</v>
      </c>
      <c r="C1055">
        <v>16628</v>
      </c>
      <c r="I1055" s="77"/>
    </row>
    <row r="1056" spans="2:9" x14ac:dyDescent="0.3">
      <c r="B1056" s="77">
        <v>44713</v>
      </c>
      <c r="C1056">
        <v>16522.75</v>
      </c>
      <c r="I1056" s="77"/>
    </row>
    <row r="1057" spans="2:9" x14ac:dyDescent="0.3">
      <c r="B1057" s="77">
        <v>44712</v>
      </c>
      <c r="C1057">
        <v>16584.55</v>
      </c>
      <c r="I1057" s="77"/>
    </row>
    <row r="1058" spans="2:9" x14ac:dyDescent="0.3">
      <c r="B1058" s="77">
        <v>44711</v>
      </c>
      <c r="C1058">
        <v>16661.400000000001</v>
      </c>
      <c r="I1058" s="77"/>
    </row>
    <row r="1059" spans="2:9" x14ac:dyDescent="0.3">
      <c r="B1059" s="77">
        <v>44708</v>
      </c>
      <c r="C1059">
        <v>16352.45</v>
      </c>
      <c r="I1059" s="77"/>
    </row>
    <row r="1060" spans="2:9" x14ac:dyDescent="0.3">
      <c r="B1060" s="77">
        <v>44707</v>
      </c>
      <c r="C1060">
        <v>16170.15</v>
      </c>
      <c r="I1060" s="77"/>
    </row>
    <row r="1061" spans="2:9" x14ac:dyDescent="0.3">
      <c r="B1061" s="77">
        <v>44706</v>
      </c>
      <c r="C1061">
        <v>16025.8</v>
      </c>
      <c r="I1061" s="77"/>
    </row>
    <row r="1062" spans="2:9" x14ac:dyDescent="0.3">
      <c r="B1062" s="77">
        <v>44705</v>
      </c>
      <c r="C1062">
        <v>16125.15</v>
      </c>
      <c r="I1062" s="77"/>
    </row>
    <row r="1063" spans="2:9" x14ac:dyDescent="0.3">
      <c r="B1063" s="77">
        <v>44704</v>
      </c>
      <c r="C1063">
        <v>16214.7</v>
      </c>
      <c r="I1063" s="77"/>
    </row>
    <row r="1064" spans="2:9" x14ac:dyDescent="0.3">
      <c r="B1064" s="77">
        <v>44701</v>
      </c>
      <c r="C1064">
        <v>16266.15</v>
      </c>
      <c r="I1064" s="77"/>
    </row>
    <row r="1065" spans="2:9" x14ac:dyDescent="0.3">
      <c r="B1065" s="77">
        <v>44700</v>
      </c>
      <c r="C1065">
        <v>15809.4</v>
      </c>
      <c r="I1065" s="77"/>
    </row>
    <row r="1066" spans="2:9" x14ac:dyDescent="0.3">
      <c r="B1066" s="77">
        <v>44699</v>
      </c>
      <c r="C1066">
        <v>16240.3</v>
      </c>
      <c r="I1066" s="77"/>
    </row>
    <row r="1067" spans="2:9" x14ac:dyDescent="0.3">
      <c r="B1067" s="77">
        <v>44698</v>
      </c>
      <c r="C1067">
        <v>16259.3</v>
      </c>
      <c r="I1067" s="77"/>
    </row>
    <row r="1068" spans="2:9" x14ac:dyDescent="0.3">
      <c r="B1068" s="77">
        <v>44697</v>
      </c>
      <c r="C1068">
        <v>15842.3</v>
      </c>
      <c r="I1068" s="77"/>
    </row>
    <row r="1069" spans="2:9" x14ac:dyDescent="0.3">
      <c r="B1069" s="77">
        <v>44694</v>
      </c>
      <c r="C1069">
        <v>15782.15</v>
      </c>
      <c r="I1069" s="77"/>
    </row>
    <row r="1070" spans="2:9" x14ac:dyDescent="0.3">
      <c r="B1070" s="77">
        <v>44693</v>
      </c>
      <c r="C1070">
        <v>15808</v>
      </c>
      <c r="I1070" s="77"/>
    </row>
    <row r="1071" spans="2:9" x14ac:dyDescent="0.3">
      <c r="B1071" s="77">
        <v>44692</v>
      </c>
      <c r="C1071">
        <v>16167.1</v>
      </c>
      <c r="I1071" s="77"/>
    </row>
    <row r="1072" spans="2:9" x14ac:dyDescent="0.3">
      <c r="B1072" s="77">
        <v>44691</v>
      </c>
      <c r="C1072">
        <v>16240.05</v>
      </c>
      <c r="I1072" s="77"/>
    </row>
    <row r="1073" spans="2:9" x14ac:dyDescent="0.3">
      <c r="B1073" s="77">
        <v>44690</v>
      </c>
      <c r="C1073">
        <v>16301.85</v>
      </c>
      <c r="I1073" s="77"/>
    </row>
    <row r="1074" spans="2:9" x14ac:dyDescent="0.3">
      <c r="B1074" s="77">
        <v>44687</v>
      </c>
      <c r="C1074">
        <v>16411.25</v>
      </c>
      <c r="I1074" s="77"/>
    </row>
    <row r="1075" spans="2:9" x14ac:dyDescent="0.3">
      <c r="B1075" s="77">
        <v>44686</v>
      </c>
      <c r="C1075">
        <v>16682.650000000001</v>
      </c>
      <c r="I1075" s="77"/>
    </row>
    <row r="1076" spans="2:9" x14ac:dyDescent="0.3">
      <c r="B1076" s="77">
        <v>44685</v>
      </c>
      <c r="C1076">
        <v>16677.599999999999</v>
      </c>
      <c r="I1076" s="77"/>
    </row>
    <row r="1077" spans="2:9" x14ac:dyDescent="0.3">
      <c r="B1077" s="77">
        <v>44683</v>
      </c>
      <c r="C1077">
        <v>17069.099999999999</v>
      </c>
      <c r="I1077" s="77"/>
    </row>
    <row r="1078" spans="2:9" x14ac:dyDescent="0.3">
      <c r="B1078" s="77">
        <v>44680</v>
      </c>
      <c r="C1078">
        <v>17102.55</v>
      </c>
      <c r="I1078" s="77"/>
    </row>
    <row r="1079" spans="2:9" x14ac:dyDescent="0.3">
      <c r="B1079" s="77">
        <v>44679</v>
      </c>
      <c r="C1079">
        <v>17245.05</v>
      </c>
      <c r="I1079" s="77"/>
    </row>
    <row r="1080" spans="2:9" x14ac:dyDescent="0.3">
      <c r="B1080" s="77">
        <v>44678</v>
      </c>
      <c r="C1080">
        <v>17038.400000000001</v>
      </c>
      <c r="I1080" s="77"/>
    </row>
    <row r="1081" spans="2:9" x14ac:dyDescent="0.3">
      <c r="B1081" s="77">
        <v>44677</v>
      </c>
      <c r="C1081">
        <v>17200.8</v>
      </c>
      <c r="I1081" s="77"/>
    </row>
    <row r="1082" spans="2:9" x14ac:dyDescent="0.3">
      <c r="B1082" s="77">
        <v>44676</v>
      </c>
      <c r="C1082">
        <v>16953.95</v>
      </c>
      <c r="I1082" s="77"/>
    </row>
    <row r="1083" spans="2:9" x14ac:dyDescent="0.3">
      <c r="B1083" s="77">
        <v>44673</v>
      </c>
      <c r="C1083">
        <v>17171.95</v>
      </c>
      <c r="I1083" s="77"/>
    </row>
    <row r="1084" spans="2:9" x14ac:dyDescent="0.3">
      <c r="B1084" s="77">
        <v>44672</v>
      </c>
      <c r="C1084">
        <v>17392.599999999999</v>
      </c>
      <c r="I1084" s="77"/>
    </row>
    <row r="1085" spans="2:9" x14ac:dyDescent="0.3">
      <c r="B1085" s="77">
        <v>44671</v>
      </c>
      <c r="C1085">
        <v>17136.55</v>
      </c>
      <c r="I1085" s="77"/>
    </row>
    <row r="1086" spans="2:9" x14ac:dyDescent="0.3">
      <c r="B1086" s="77">
        <v>44670</v>
      </c>
      <c r="C1086">
        <v>16958.650000000001</v>
      </c>
      <c r="I1086" s="77"/>
    </row>
    <row r="1087" spans="2:9" x14ac:dyDescent="0.3">
      <c r="B1087" s="77">
        <v>44669</v>
      </c>
      <c r="C1087">
        <v>17173.650000000001</v>
      </c>
      <c r="I1087" s="77"/>
    </row>
    <row r="1088" spans="2:9" x14ac:dyDescent="0.3">
      <c r="B1088" s="77">
        <v>44664</v>
      </c>
      <c r="C1088">
        <v>17475.650000000001</v>
      </c>
      <c r="I1088" s="77"/>
    </row>
    <row r="1089" spans="2:9" x14ac:dyDescent="0.3">
      <c r="B1089" s="77">
        <v>44663</v>
      </c>
      <c r="C1089">
        <v>17530.3</v>
      </c>
      <c r="I1089" s="77"/>
    </row>
    <row r="1090" spans="2:9" x14ac:dyDescent="0.3">
      <c r="B1090" s="77">
        <v>44662</v>
      </c>
      <c r="C1090">
        <v>17674.95</v>
      </c>
      <c r="I1090" s="77"/>
    </row>
    <row r="1091" spans="2:9" x14ac:dyDescent="0.3">
      <c r="B1091" s="77">
        <v>44659</v>
      </c>
      <c r="C1091">
        <v>17784.349999999999</v>
      </c>
      <c r="I1091" s="77"/>
    </row>
    <row r="1092" spans="2:9" x14ac:dyDescent="0.3">
      <c r="B1092" s="77">
        <v>44658</v>
      </c>
      <c r="C1092">
        <v>17639.55</v>
      </c>
      <c r="I1092" s="77"/>
    </row>
    <row r="1093" spans="2:9" x14ac:dyDescent="0.3">
      <c r="B1093" s="77">
        <v>44657</v>
      </c>
      <c r="C1093">
        <v>17807.650000000001</v>
      </c>
      <c r="I1093" s="77"/>
    </row>
    <row r="1094" spans="2:9" x14ac:dyDescent="0.3">
      <c r="B1094" s="77">
        <v>44656</v>
      </c>
      <c r="C1094">
        <v>17957.400000000001</v>
      </c>
      <c r="I1094" s="77"/>
    </row>
    <row r="1095" spans="2:9" x14ac:dyDescent="0.3">
      <c r="B1095" s="77">
        <v>44655</v>
      </c>
      <c r="C1095">
        <v>18053.400000000001</v>
      </c>
      <c r="I1095" s="77"/>
    </row>
    <row r="1096" spans="2:9" x14ac:dyDescent="0.3">
      <c r="B1096" s="77">
        <v>44652</v>
      </c>
      <c r="C1096">
        <v>17670.45</v>
      </c>
      <c r="I1096" s="77"/>
    </row>
    <row r="1097" spans="2:9" x14ac:dyDescent="0.3">
      <c r="B1097" s="77">
        <v>44651</v>
      </c>
      <c r="C1097">
        <v>17464.75</v>
      </c>
      <c r="I1097" s="77"/>
    </row>
    <row r="1098" spans="2:9" x14ac:dyDescent="0.3">
      <c r="B1098" s="77">
        <v>44650</v>
      </c>
      <c r="C1098">
        <v>17498.25</v>
      </c>
      <c r="I1098" s="77"/>
    </row>
    <row r="1099" spans="2:9" x14ac:dyDescent="0.3">
      <c r="B1099" s="77">
        <v>44649</v>
      </c>
      <c r="C1099">
        <v>17325.3</v>
      </c>
      <c r="I1099" s="77"/>
    </row>
    <row r="1100" spans="2:9" x14ac:dyDescent="0.3">
      <c r="B1100" s="77">
        <v>44648</v>
      </c>
      <c r="C1100">
        <v>17222</v>
      </c>
      <c r="I1100" s="77"/>
    </row>
    <row r="1101" spans="2:9" x14ac:dyDescent="0.3">
      <c r="B1101" s="77">
        <v>44645</v>
      </c>
      <c r="C1101">
        <v>17153</v>
      </c>
      <c r="I1101" s="77"/>
    </row>
    <row r="1102" spans="2:9" x14ac:dyDescent="0.3">
      <c r="B1102" s="77">
        <v>44644</v>
      </c>
      <c r="C1102">
        <v>17222.75</v>
      </c>
      <c r="I1102" s="77"/>
    </row>
    <row r="1103" spans="2:9" x14ac:dyDescent="0.3">
      <c r="B1103" s="77">
        <v>44643</v>
      </c>
      <c r="C1103">
        <v>17245.650000000001</v>
      </c>
      <c r="I1103" s="77"/>
    </row>
    <row r="1104" spans="2:9" x14ac:dyDescent="0.3">
      <c r="B1104" s="77">
        <v>44642</v>
      </c>
      <c r="C1104">
        <v>17315.5</v>
      </c>
      <c r="I1104" s="77"/>
    </row>
    <row r="1105" spans="2:9" x14ac:dyDescent="0.3">
      <c r="B1105" s="77">
        <v>44641</v>
      </c>
      <c r="C1105">
        <v>17117.599999999999</v>
      </c>
      <c r="I1105" s="77"/>
    </row>
    <row r="1106" spans="2:9" x14ac:dyDescent="0.3">
      <c r="B1106" s="77">
        <v>44637</v>
      </c>
      <c r="C1106">
        <v>17287.05</v>
      </c>
      <c r="I1106" s="77"/>
    </row>
    <row r="1107" spans="2:9" x14ac:dyDescent="0.3">
      <c r="B1107" s="77">
        <v>44636</v>
      </c>
      <c r="C1107">
        <v>16975.349999999999</v>
      </c>
      <c r="I1107" s="77"/>
    </row>
    <row r="1108" spans="2:9" x14ac:dyDescent="0.3">
      <c r="B1108" s="77">
        <v>44635</v>
      </c>
      <c r="C1108">
        <v>16663</v>
      </c>
      <c r="I1108" s="77"/>
    </row>
    <row r="1109" spans="2:9" x14ac:dyDescent="0.3">
      <c r="B1109" s="77">
        <v>44634</v>
      </c>
      <c r="C1109">
        <v>16871.3</v>
      </c>
      <c r="I1109" s="77"/>
    </row>
    <row r="1110" spans="2:9" x14ac:dyDescent="0.3">
      <c r="B1110" s="77">
        <v>44631</v>
      </c>
      <c r="C1110">
        <v>16630.45</v>
      </c>
      <c r="I1110" s="77"/>
    </row>
    <row r="1111" spans="2:9" x14ac:dyDescent="0.3">
      <c r="B1111" s="77">
        <v>44630</v>
      </c>
      <c r="C1111">
        <v>16594.900000000001</v>
      </c>
      <c r="I1111" s="77"/>
    </row>
    <row r="1112" spans="2:9" x14ac:dyDescent="0.3">
      <c r="B1112" s="77">
        <v>44629</v>
      </c>
      <c r="C1112">
        <v>16345.35</v>
      </c>
      <c r="I1112" s="77"/>
    </row>
    <row r="1113" spans="2:9" x14ac:dyDescent="0.3">
      <c r="B1113" s="77">
        <v>44628</v>
      </c>
      <c r="C1113">
        <v>16013.45</v>
      </c>
      <c r="I1113" s="77"/>
    </row>
    <row r="1114" spans="2:9" x14ac:dyDescent="0.3">
      <c r="B1114" s="77">
        <v>44627</v>
      </c>
      <c r="C1114">
        <v>15863.15</v>
      </c>
      <c r="I1114" s="77"/>
    </row>
    <row r="1115" spans="2:9" x14ac:dyDescent="0.3">
      <c r="B1115" s="77">
        <v>44624</v>
      </c>
      <c r="C1115">
        <v>16245.35</v>
      </c>
      <c r="I1115" s="77"/>
    </row>
    <row r="1116" spans="2:9" x14ac:dyDescent="0.3">
      <c r="B1116" s="77">
        <v>44623</v>
      </c>
      <c r="C1116">
        <v>16498.05</v>
      </c>
      <c r="I1116" s="77"/>
    </row>
    <row r="1117" spans="2:9" x14ac:dyDescent="0.3">
      <c r="B1117" s="77">
        <v>44622</v>
      </c>
      <c r="C1117">
        <v>16605.95</v>
      </c>
      <c r="I1117" s="77"/>
    </row>
    <row r="1118" spans="2:9" x14ac:dyDescent="0.3">
      <c r="B1118" s="77">
        <v>44620</v>
      </c>
      <c r="C1118">
        <v>16793.900000000001</v>
      </c>
      <c r="I1118" s="77"/>
    </row>
    <row r="1119" spans="2:9" x14ac:dyDescent="0.3">
      <c r="B1119" s="77">
        <v>44617</v>
      </c>
      <c r="C1119">
        <v>16658.400000000001</v>
      </c>
      <c r="I1119" s="77"/>
    </row>
    <row r="1120" spans="2:9" x14ac:dyDescent="0.3">
      <c r="B1120" s="77">
        <v>44616</v>
      </c>
      <c r="C1120">
        <v>16247.95</v>
      </c>
      <c r="I1120" s="77"/>
    </row>
    <row r="1121" spans="2:9" x14ac:dyDescent="0.3">
      <c r="B1121" s="77">
        <v>44615</v>
      </c>
      <c r="C1121">
        <v>17063.25</v>
      </c>
      <c r="I1121" s="77"/>
    </row>
    <row r="1122" spans="2:9" x14ac:dyDescent="0.3">
      <c r="B1122" s="77">
        <v>44614</v>
      </c>
      <c r="C1122">
        <v>17092.2</v>
      </c>
      <c r="I1122" s="77"/>
    </row>
    <row r="1123" spans="2:9" x14ac:dyDescent="0.3">
      <c r="B1123" s="77">
        <v>44613</v>
      </c>
      <c r="C1123">
        <v>17206.650000000001</v>
      </c>
      <c r="I1123" s="77"/>
    </row>
    <row r="1124" spans="2:9" x14ac:dyDescent="0.3">
      <c r="B1124" s="77">
        <v>44610</v>
      </c>
      <c r="C1124">
        <v>17276.3</v>
      </c>
      <c r="I1124" s="77"/>
    </row>
    <row r="1125" spans="2:9" x14ac:dyDescent="0.3">
      <c r="B1125" s="77">
        <v>44609</v>
      </c>
      <c r="C1125">
        <v>17304.599999999999</v>
      </c>
      <c r="I1125" s="77"/>
    </row>
    <row r="1126" spans="2:9" x14ac:dyDescent="0.3">
      <c r="B1126" s="77">
        <v>44608</v>
      </c>
      <c r="C1126">
        <v>17322.2</v>
      </c>
      <c r="I1126" s="77"/>
    </row>
    <row r="1127" spans="2:9" x14ac:dyDescent="0.3">
      <c r="B1127" s="77">
        <v>44607</v>
      </c>
      <c r="C1127">
        <v>17352.45</v>
      </c>
      <c r="I1127" s="77"/>
    </row>
    <row r="1128" spans="2:9" x14ac:dyDescent="0.3">
      <c r="B1128" s="77">
        <v>44606</v>
      </c>
      <c r="C1128">
        <v>16842.8</v>
      </c>
      <c r="I1128" s="77"/>
    </row>
    <row r="1129" spans="2:9" x14ac:dyDescent="0.3">
      <c r="B1129" s="77">
        <v>44603</v>
      </c>
      <c r="C1129">
        <v>17374.75</v>
      </c>
      <c r="I1129" s="77"/>
    </row>
    <row r="1130" spans="2:9" x14ac:dyDescent="0.3">
      <c r="B1130" s="77">
        <v>44602</v>
      </c>
      <c r="C1130">
        <v>17605.849999999999</v>
      </c>
      <c r="I1130" s="77"/>
    </row>
    <row r="1131" spans="2:9" x14ac:dyDescent="0.3">
      <c r="B1131" s="77">
        <v>44601</v>
      </c>
      <c r="C1131">
        <v>17463.8</v>
      </c>
      <c r="I1131" s="77"/>
    </row>
    <row r="1132" spans="2:9" x14ac:dyDescent="0.3">
      <c r="B1132" s="77">
        <v>44600</v>
      </c>
      <c r="C1132">
        <v>17266.75</v>
      </c>
      <c r="I1132" s="77"/>
    </row>
    <row r="1133" spans="2:9" x14ac:dyDescent="0.3">
      <c r="B1133" s="77">
        <v>44599</v>
      </c>
      <c r="C1133">
        <v>17213.599999999999</v>
      </c>
      <c r="I1133" s="77"/>
    </row>
    <row r="1134" spans="2:9" x14ac:dyDescent="0.3">
      <c r="B1134" s="77">
        <v>44596</v>
      </c>
      <c r="C1134">
        <v>17516.3</v>
      </c>
      <c r="I1134" s="77"/>
    </row>
    <row r="1135" spans="2:9" x14ac:dyDescent="0.3">
      <c r="B1135" s="77">
        <v>44595</v>
      </c>
      <c r="C1135">
        <v>17560.2</v>
      </c>
      <c r="I1135" s="77"/>
    </row>
    <row r="1136" spans="2:9" x14ac:dyDescent="0.3">
      <c r="B1136" s="77">
        <v>44594</v>
      </c>
      <c r="C1136">
        <v>17780</v>
      </c>
      <c r="I1136" s="77"/>
    </row>
    <row r="1137" spans="2:9" x14ac:dyDescent="0.3">
      <c r="B1137" s="77">
        <v>44593</v>
      </c>
      <c r="C1137">
        <v>17576.849999999999</v>
      </c>
      <c r="I1137" s="77"/>
    </row>
    <row r="1138" spans="2:9" x14ac:dyDescent="0.3">
      <c r="B1138" s="77">
        <v>44592</v>
      </c>
      <c r="C1138">
        <v>17339.849999999999</v>
      </c>
      <c r="I1138" s="77"/>
    </row>
    <row r="1139" spans="2:9" x14ac:dyDescent="0.3">
      <c r="B1139" s="77">
        <v>44589</v>
      </c>
      <c r="C1139">
        <v>17101.95</v>
      </c>
      <c r="I1139" s="77"/>
    </row>
    <row r="1140" spans="2:9" x14ac:dyDescent="0.3">
      <c r="B1140" s="77">
        <v>44588</v>
      </c>
      <c r="C1140">
        <v>17110.150000000001</v>
      </c>
      <c r="I1140" s="77"/>
    </row>
    <row r="1141" spans="2:9" x14ac:dyDescent="0.3">
      <c r="B1141" s="77">
        <v>44586</v>
      </c>
      <c r="C1141">
        <v>17277.95</v>
      </c>
      <c r="I1141" s="77"/>
    </row>
    <row r="1142" spans="2:9" x14ac:dyDescent="0.3">
      <c r="B1142" s="77">
        <v>44585</v>
      </c>
      <c r="C1142">
        <v>17149.099999999999</v>
      </c>
      <c r="I1142" s="77"/>
    </row>
    <row r="1143" spans="2:9" x14ac:dyDescent="0.3">
      <c r="B1143" s="77">
        <v>44582</v>
      </c>
      <c r="C1143">
        <v>17617.150000000001</v>
      </c>
      <c r="I1143" s="77"/>
    </row>
    <row r="1144" spans="2:9" x14ac:dyDescent="0.3">
      <c r="B1144" s="77">
        <v>44581</v>
      </c>
      <c r="C1144">
        <v>17757</v>
      </c>
      <c r="I1144" s="77"/>
    </row>
    <row r="1145" spans="2:9" x14ac:dyDescent="0.3">
      <c r="B1145" s="77">
        <v>44580</v>
      </c>
      <c r="C1145">
        <v>17938.400000000001</v>
      </c>
      <c r="I1145" s="77"/>
    </row>
    <row r="1146" spans="2:9" x14ac:dyDescent="0.3">
      <c r="B1146" s="77">
        <v>44579</v>
      </c>
      <c r="C1146">
        <v>18113.05</v>
      </c>
      <c r="I1146" s="77"/>
    </row>
    <row r="1147" spans="2:9" x14ac:dyDescent="0.3">
      <c r="B1147" s="77">
        <v>44578</v>
      </c>
      <c r="C1147">
        <v>18308.099999999999</v>
      </c>
      <c r="I1147" s="77"/>
    </row>
    <row r="1148" spans="2:9" x14ac:dyDescent="0.3">
      <c r="B1148" s="77">
        <v>44575</v>
      </c>
      <c r="C1148">
        <v>18255.75</v>
      </c>
      <c r="I1148" s="77"/>
    </row>
    <row r="1149" spans="2:9" x14ac:dyDescent="0.3">
      <c r="B1149" s="77">
        <v>44574</v>
      </c>
      <c r="C1149">
        <v>18257.8</v>
      </c>
      <c r="I1149" s="77"/>
    </row>
    <row r="1150" spans="2:9" x14ac:dyDescent="0.3">
      <c r="B1150" s="77">
        <v>44573</v>
      </c>
      <c r="C1150">
        <v>18212.349999999999</v>
      </c>
      <c r="I1150" s="77"/>
    </row>
    <row r="1151" spans="2:9" x14ac:dyDescent="0.3">
      <c r="B1151" s="77">
        <v>44572</v>
      </c>
      <c r="C1151">
        <v>18055.75</v>
      </c>
      <c r="I1151" s="77"/>
    </row>
    <row r="1152" spans="2:9" x14ac:dyDescent="0.3">
      <c r="B1152" s="77">
        <v>44571</v>
      </c>
      <c r="C1152">
        <v>18003.3</v>
      </c>
      <c r="I1152" s="77"/>
    </row>
    <row r="1153" spans="2:9" x14ac:dyDescent="0.3">
      <c r="B1153" s="77">
        <v>44568</v>
      </c>
      <c r="C1153">
        <v>17812.7</v>
      </c>
      <c r="I1153" s="77"/>
    </row>
    <row r="1154" spans="2:9" x14ac:dyDescent="0.3">
      <c r="B1154" s="77">
        <v>44567</v>
      </c>
      <c r="C1154">
        <v>17745.900000000001</v>
      </c>
      <c r="I1154" s="77"/>
    </row>
    <row r="1155" spans="2:9" x14ac:dyDescent="0.3">
      <c r="B1155" s="77">
        <v>44566</v>
      </c>
      <c r="C1155">
        <v>17925.25</v>
      </c>
      <c r="I1155" s="77"/>
    </row>
    <row r="1156" spans="2:9" x14ac:dyDescent="0.3">
      <c r="B1156" s="77">
        <v>44565</v>
      </c>
      <c r="C1156">
        <v>17805.25</v>
      </c>
      <c r="I1156" s="77"/>
    </row>
    <row r="1157" spans="2:9" x14ac:dyDescent="0.3">
      <c r="B1157" s="77">
        <v>44564</v>
      </c>
      <c r="C1157">
        <v>17625.7</v>
      </c>
      <c r="I1157" s="77"/>
    </row>
    <row r="1158" spans="2:9" x14ac:dyDescent="0.3">
      <c r="B1158" s="77">
        <v>44561</v>
      </c>
      <c r="C1158">
        <v>17354.05</v>
      </c>
      <c r="I1158" s="77"/>
    </row>
    <row r="1159" spans="2:9" x14ac:dyDescent="0.3">
      <c r="B1159" s="77">
        <v>44560</v>
      </c>
      <c r="C1159">
        <v>17203.95</v>
      </c>
      <c r="I1159" s="77"/>
    </row>
    <row r="1160" spans="2:9" x14ac:dyDescent="0.3">
      <c r="B1160" s="77">
        <v>44559</v>
      </c>
      <c r="C1160">
        <v>17213.599999999999</v>
      </c>
      <c r="I1160" s="77"/>
    </row>
    <row r="1161" spans="2:9" x14ac:dyDescent="0.3">
      <c r="B1161" s="77">
        <v>44558</v>
      </c>
      <c r="C1161">
        <v>17233.25</v>
      </c>
      <c r="I1161" s="77"/>
    </row>
    <row r="1162" spans="2:9" x14ac:dyDescent="0.3">
      <c r="B1162" s="77">
        <v>44557</v>
      </c>
      <c r="C1162">
        <v>17086.25</v>
      </c>
      <c r="I1162" s="77"/>
    </row>
    <row r="1163" spans="2:9" x14ac:dyDescent="0.3">
      <c r="B1163" s="77">
        <v>44554</v>
      </c>
      <c r="C1163">
        <v>17003.75</v>
      </c>
      <c r="I1163" s="77"/>
    </row>
    <row r="1164" spans="2:9" x14ac:dyDescent="0.3">
      <c r="B1164" s="77">
        <v>44553</v>
      </c>
      <c r="C1164">
        <v>17072.599999999999</v>
      </c>
      <c r="I1164" s="77"/>
    </row>
    <row r="1165" spans="2:9" x14ac:dyDescent="0.3">
      <c r="B1165" s="77">
        <v>44552</v>
      </c>
      <c r="C1165">
        <v>16955.45</v>
      </c>
      <c r="I1165" s="77"/>
    </row>
    <row r="1166" spans="2:9" x14ac:dyDescent="0.3">
      <c r="B1166" s="77">
        <v>44551</v>
      </c>
      <c r="C1166">
        <v>16770.849999999999</v>
      </c>
      <c r="I1166" s="77"/>
    </row>
    <row r="1167" spans="2:9" x14ac:dyDescent="0.3">
      <c r="B1167" s="77">
        <v>44550</v>
      </c>
      <c r="C1167">
        <v>16614.2</v>
      </c>
      <c r="I1167" s="77"/>
    </row>
    <row r="1168" spans="2:9" x14ac:dyDescent="0.3">
      <c r="B1168" s="77">
        <v>44547</v>
      </c>
      <c r="C1168">
        <v>16985.2</v>
      </c>
      <c r="I1168" s="77"/>
    </row>
    <row r="1169" spans="2:9" x14ac:dyDescent="0.3">
      <c r="B1169" s="77">
        <v>44546</v>
      </c>
      <c r="C1169">
        <v>17248.400000000001</v>
      </c>
      <c r="I1169" s="77"/>
    </row>
    <row r="1170" spans="2:9" x14ac:dyDescent="0.3">
      <c r="B1170" s="77">
        <v>44545</v>
      </c>
      <c r="C1170">
        <v>17221.400000000001</v>
      </c>
      <c r="I1170" s="77"/>
    </row>
    <row r="1171" spans="2:9" x14ac:dyDescent="0.3">
      <c r="B1171" s="77">
        <v>44544</v>
      </c>
      <c r="C1171">
        <v>17324.900000000001</v>
      </c>
      <c r="I1171" s="77"/>
    </row>
    <row r="1172" spans="2:9" x14ac:dyDescent="0.3">
      <c r="B1172" s="77">
        <v>44543</v>
      </c>
      <c r="C1172">
        <v>17368.25</v>
      </c>
      <c r="I1172" s="77"/>
    </row>
    <row r="1173" spans="2:9" x14ac:dyDescent="0.3">
      <c r="B1173" s="77">
        <v>44540</v>
      </c>
      <c r="C1173">
        <v>17511.3</v>
      </c>
      <c r="I1173" s="77"/>
    </row>
    <row r="1174" spans="2:9" x14ac:dyDescent="0.3">
      <c r="B1174" s="77">
        <v>44539</v>
      </c>
      <c r="C1174">
        <v>17516.849999999999</v>
      </c>
      <c r="I1174" s="77"/>
    </row>
    <row r="1175" spans="2:9" x14ac:dyDescent="0.3">
      <c r="B1175" s="77">
        <v>44538</v>
      </c>
      <c r="C1175">
        <v>17469.75</v>
      </c>
      <c r="I1175" s="77"/>
    </row>
    <row r="1176" spans="2:9" x14ac:dyDescent="0.3">
      <c r="B1176" s="77">
        <v>44537</v>
      </c>
      <c r="C1176">
        <v>17176.7</v>
      </c>
      <c r="I1176" s="77"/>
    </row>
    <row r="1177" spans="2:9" x14ac:dyDescent="0.3">
      <c r="B1177" s="77">
        <v>44536</v>
      </c>
      <c r="C1177">
        <v>16912.25</v>
      </c>
      <c r="I1177" s="77"/>
    </row>
    <row r="1178" spans="2:9" x14ac:dyDescent="0.3">
      <c r="B1178" s="77">
        <v>44533</v>
      </c>
      <c r="C1178">
        <v>17196.7</v>
      </c>
      <c r="I1178" s="77"/>
    </row>
    <row r="1179" spans="2:9" x14ac:dyDescent="0.3">
      <c r="B1179" s="77">
        <v>44532</v>
      </c>
      <c r="C1179">
        <v>17401.650000000001</v>
      </c>
      <c r="I1179" s="77"/>
    </row>
    <row r="1180" spans="2:9" x14ac:dyDescent="0.3">
      <c r="B1180" s="77">
        <v>44531</v>
      </c>
      <c r="C1180">
        <v>17166.900000000001</v>
      </c>
      <c r="I1180" s="77"/>
    </row>
    <row r="1181" spans="2:9" x14ac:dyDescent="0.3">
      <c r="B1181" s="77">
        <v>44530</v>
      </c>
      <c r="C1181">
        <v>16983.2</v>
      </c>
      <c r="I1181" s="77"/>
    </row>
    <row r="1182" spans="2:9" x14ac:dyDescent="0.3">
      <c r="B1182" s="77">
        <v>44529</v>
      </c>
      <c r="C1182">
        <v>17053.95</v>
      </c>
      <c r="I1182" s="77"/>
    </row>
    <row r="1183" spans="2:9" x14ac:dyDescent="0.3">
      <c r="B1183" s="77">
        <v>44526</v>
      </c>
      <c r="C1183">
        <v>17026.45</v>
      </c>
      <c r="I1183" s="77"/>
    </row>
    <row r="1184" spans="2:9" x14ac:dyDescent="0.3">
      <c r="B1184" s="77">
        <v>44525</v>
      </c>
      <c r="C1184">
        <v>17536.25</v>
      </c>
      <c r="I1184" s="77"/>
    </row>
    <row r="1185" spans="2:9" x14ac:dyDescent="0.3">
      <c r="B1185" s="77">
        <v>44524</v>
      </c>
      <c r="C1185">
        <v>17415.05</v>
      </c>
      <c r="I1185" s="77"/>
    </row>
    <row r="1186" spans="2:9" x14ac:dyDescent="0.3">
      <c r="B1186" s="77">
        <v>44523</v>
      </c>
      <c r="C1186">
        <v>17503.349999999999</v>
      </c>
      <c r="I1186" s="77"/>
    </row>
    <row r="1187" spans="2:9" x14ac:dyDescent="0.3">
      <c r="B1187" s="77">
        <v>44522</v>
      </c>
      <c r="C1187">
        <v>17416.55</v>
      </c>
      <c r="I1187" s="77"/>
    </row>
    <row r="1188" spans="2:9" x14ac:dyDescent="0.3">
      <c r="B1188" s="77">
        <v>44518</v>
      </c>
      <c r="C1188">
        <v>17764.8</v>
      </c>
      <c r="I1188" s="77"/>
    </row>
    <row r="1189" spans="2:9" x14ac:dyDescent="0.3">
      <c r="B1189" s="77">
        <v>44517</v>
      </c>
      <c r="C1189">
        <v>17898.650000000001</v>
      </c>
      <c r="I1189" s="77"/>
    </row>
    <row r="1190" spans="2:9" x14ac:dyDescent="0.3">
      <c r="B1190" s="77">
        <v>44516</v>
      </c>
      <c r="C1190">
        <v>17999.2</v>
      </c>
      <c r="I1190" s="77"/>
    </row>
    <row r="1191" spans="2:9" x14ac:dyDescent="0.3">
      <c r="B1191" s="77">
        <v>44515</v>
      </c>
      <c r="C1191">
        <v>18109.45</v>
      </c>
      <c r="I1191" s="77"/>
    </row>
    <row r="1192" spans="2:9" x14ac:dyDescent="0.3">
      <c r="B1192" s="77">
        <v>44512</v>
      </c>
      <c r="C1192">
        <v>18102.75</v>
      </c>
      <c r="I1192" s="77"/>
    </row>
    <row r="1193" spans="2:9" x14ac:dyDescent="0.3">
      <c r="B1193" s="77">
        <v>44511</v>
      </c>
      <c r="C1193">
        <v>17873.599999999999</v>
      </c>
      <c r="I1193" s="77"/>
    </row>
    <row r="1194" spans="2:9" x14ac:dyDescent="0.3">
      <c r="B1194" s="77">
        <v>44510</v>
      </c>
      <c r="C1194">
        <v>18017.2</v>
      </c>
      <c r="I1194" s="77"/>
    </row>
    <row r="1195" spans="2:9" x14ac:dyDescent="0.3">
      <c r="B1195" s="77">
        <v>44509</v>
      </c>
      <c r="C1195">
        <v>18044.25</v>
      </c>
      <c r="I1195" s="77"/>
    </row>
    <row r="1196" spans="2:9" x14ac:dyDescent="0.3">
      <c r="B1196" s="77">
        <v>44508</v>
      </c>
      <c r="C1196">
        <v>18068.55</v>
      </c>
      <c r="I1196" s="77"/>
    </row>
    <row r="1197" spans="2:9" x14ac:dyDescent="0.3">
      <c r="B1197" s="77">
        <v>44504</v>
      </c>
      <c r="C1197">
        <v>17916.8</v>
      </c>
      <c r="I1197" s="77"/>
    </row>
    <row r="1198" spans="2:9" x14ac:dyDescent="0.3">
      <c r="B1198" s="77">
        <v>44503</v>
      </c>
      <c r="C1198">
        <v>17829.2</v>
      </c>
      <c r="I1198" s="77"/>
    </row>
    <row r="1199" spans="2:9" x14ac:dyDescent="0.3">
      <c r="B1199" s="77">
        <v>44502</v>
      </c>
      <c r="C1199">
        <v>17888.95</v>
      </c>
      <c r="I1199" s="77"/>
    </row>
    <row r="1200" spans="2:9" x14ac:dyDescent="0.3">
      <c r="B1200" s="77">
        <v>44501</v>
      </c>
      <c r="C1200">
        <v>17929.650000000001</v>
      </c>
      <c r="I1200" s="77"/>
    </row>
    <row r="1201" spans="2:9" x14ac:dyDescent="0.3">
      <c r="B1201" s="77">
        <v>44498</v>
      </c>
      <c r="C1201">
        <v>17671.650000000001</v>
      </c>
      <c r="I1201" s="77"/>
    </row>
    <row r="1202" spans="2:9" x14ac:dyDescent="0.3">
      <c r="B1202" s="77">
        <v>44497</v>
      </c>
      <c r="C1202">
        <v>17857.25</v>
      </c>
      <c r="I1202" s="77"/>
    </row>
    <row r="1203" spans="2:9" x14ac:dyDescent="0.3">
      <c r="B1203" s="77">
        <v>44496</v>
      </c>
      <c r="C1203">
        <v>18210.95</v>
      </c>
      <c r="I1203" s="77"/>
    </row>
    <row r="1204" spans="2:9" x14ac:dyDescent="0.3">
      <c r="B1204" s="77">
        <v>44495</v>
      </c>
      <c r="C1204">
        <v>18268.400000000001</v>
      </c>
      <c r="I1204" s="77"/>
    </row>
    <row r="1205" spans="2:9" x14ac:dyDescent="0.3">
      <c r="B1205" s="77">
        <v>44494</v>
      </c>
      <c r="C1205">
        <v>18125.400000000001</v>
      </c>
      <c r="I1205" s="77"/>
    </row>
    <row r="1206" spans="2:9" x14ac:dyDescent="0.3">
      <c r="B1206" s="77">
        <v>44491</v>
      </c>
      <c r="C1206">
        <v>18114.900000000001</v>
      </c>
      <c r="I1206" s="77"/>
    </row>
    <row r="1207" spans="2:9" x14ac:dyDescent="0.3">
      <c r="B1207" s="77">
        <v>44490</v>
      </c>
      <c r="C1207">
        <v>18178.099999999999</v>
      </c>
      <c r="I1207" s="77"/>
    </row>
    <row r="1208" spans="2:9" x14ac:dyDescent="0.3">
      <c r="B1208" s="77">
        <v>44489</v>
      </c>
      <c r="C1208">
        <v>18266.599999999999</v>
      </c>
      <c r="I1208" s="77"/>
    </row>
    <row r="1209" spans="2:9" x14ac:dyDescent="0.3">
      <c r="B1209" s="77">
        <v>44488</v>
      </c>
      <c r="C1209">
        <v>18418.75</v>
      </c>
      <c r="I1209" s="77"/>
    </row>
    <row r="1210" spans="2:9" x14ac:dyDescent="0.3">
      <c r="B1210" s="77">
        <v>44487</v>
      </c>
      <c r="C1210">
        <v>18477.05</v>
      </c>
      <c r="I1210" s="77"/>
    </row>
    <row r="1211" spans="2:9" x14ac:dyDescent="0.3">
      <c r="B1211" s="77">
        <v>44483</v>
      </c>
      <c r="C1211">
        <v>18338.55</v>
      </c>
      <c r="I1211" s="77"/>
    </row>
    <row r="1212" spans="2:9" x14ac:dyDescent="0.3">
      <c r="B1212" s="77">
        <v>44482</v>
      </c>
      <c r="C1212">
        <v>18161.75</v>
      </c>
      <c r="I1212" s="77"/>
    </row>
    <row r="1213" spans="2:9" x14ac:dyDescent="0.3">
      <c r="B1213" s="77">
        <v>44481</v>
      </c>
      <c r="C1213">
        <v>17991.95</v>
      </c>
      <c r="I1213" s="77"/>
    </row>
    <row r="1214" spans="2:9" x14ac:dyDescent="0.3">
      <c r="B1214" s="77">
        <v>44480</v>
      </c>
      <c r="C1214">
        <v>17945.95</v>
      </c>
      <c r="I1214" s="77"/>
    </row>
    <row r="1215" spans="2:9" x14ac:dyDescent="0.3">
      <c r="B1215" s="77">
        <v>44477</v>
      </c>
      <c r="C1215">
        <v>17895.2</v>
      </c>
      <c r="I1215" s="77"/>
    </row>
    <row r="1216" spans="2:9" x14ac:dyDescent="0.3">
      <c r="B1216" s="77">
        <v>44476</v>
      </c>
      <c r="C1216">
        <v>17790.349999999999</v>
      </c>
      <c r="I1216" s="77"/>
    </row>
    <row r="1217" spans="2:9" x14ac:dyDescent="0.3">
      <c r="B1217" s="77">
        <v>44475</v>
      </c>
      <c r="C1217">
        <v>17646</v>
      </c>
      <c r="I1217" s="77"/>
    </row>
    <row r="1218" spans="2:9" x14ac:dyDescent="0.3">
      <c r="B1218" s="77">
        <v>44474</v>
      </c>
      <c r="C1218">
        <v>17822.3</v>
      </c>
      <c r="I1218" s="77"/>
    </row>
    <row r="1219" spans="2:9" x14ac:dyDescent="0.3">
      <c r="B1219" s="77">
        <v>44473</v>
      </c>
      <c r="C1219">
        <v>17691.25</v>
      </c>
      <c r="I1219" s="77"/>
    </row>
    <row r="1220" spans="2:9" x14ac:dyDescent="0.3">
      <c r="B1220" s="77">
        <v>44470</v>
      </c>
      <c r="C1220">
        <v>17532.05</v>
      </c>
      <c r="I1220" s="77"/>
    </row>
    <row r="1221" spans="2:9" x14ac:dyDescent="0.3">
      <c r="B1221" s="77">
        <v>44469</v>
      </c>
      <c r="C1221">
        <v>17618.150000000001</v>
      </c>
      <c r="I1221" s="77"/>
    </row>
    <row r="1222" spans="2:9" x14ac:dyDescent="0.3">
      <c r="B1222" s="77">
        <v>44468</v>
      </c>
      <c r="C1222">
        <v>17711.3</v>
      </c>
      <c r="I1222" s="77"/>
    </row>
    <row r="1223" spans="2:9" x14ac:dyDescent="0.3">
      <c r="B1223" s="77">
        <v>44467</v>
      </c>
      <c r="C1223">
        <v>17748.599999999999</v>
      </c>
      <c r="I1223" s="77"/>
    </row>
    <row r="1224" spans="2:9" x14ac:dyDescent="0.3">
      <c r="B1224" s="77">
        <v>44466</v>
      </c>
      <c r="C1224">
        <v>17855.099999999999</v>
      </c>
      <c r="I1224" s="77"/>
    </row>
    <row r="1225" spans="2:9" x14ac:dyDescent="0.3">
      <c r="B1225" s="77">
        <v>44463</v>
      </c>
      <c r="C1225">
        <v>17853.2</v>
      </c>
      <c r="I1225" s="77"/>
    </row>
    <row r="1226" spans="2:9" x14ac:dyDescent="0.3">
      <c r="B1226" s="77">
        <v>44462</v>
      </c>
      <c r="C1226">
        <v>17822.95</v>
      </c>
      <c r="I1226" s="77"/>
    </row>
    <row r="1227" spans="2:9" x14ac:dyDescent="0.3">
      <c r="B1227" s="77">
        <v>44461</v>
      </c>
      <c r="C1227">
        <v>17546.650000000001</v>
      </c>
      <c r="I1227" s="77"/>
    </row>
    <row r="1228" spans="2:9" x14ac:dyDescent="0.3">
      <c r="B1228" s="77">
        <v>44460</v>
      </c>
      <c r="C1228">
        <v>17562</v>
      </c>
      <c r="I1228" s="77"/>
    </row>
    <row r="1229" spans="2:9" x14ac:dyDescent="0.3">
      <c r="B1229" s="77">
        <v>44459</v>
      </c>
      <c r="C1229">
        <v>17396.900000000001</v>
      </c>
      <c r="I1229" s="77"/>
    </row>
    <row r="1230" spans="2:9" x14ac:dyDescent="0.3">
      <c r="B1230" s="77">
        <v>44456</v>
      </c>
      <c r="C1230">
        <v>17585.150000000001</v>
      </c>
      <c r="I1230" s="77"/>
    </row>
    <row r="1231" spans="2:9" x14ac:dyDescent="0.3">
      <c r="B1231" s="77">
        <v>44455</v>
      </c>
      <c r="C1231">
        <v>17629.5</v>
      </c>
      <c r="I1231" s="77"/>
    </row>
    <row r="1232" spans="2:9" x14ac:dyDescent="0.3">
      <c r="B1232" s="77">
        <v>44454</v>
      </c>
      <c r="C1232">
        <v>17519.45</v>
      </c>
      <c r="I1232" s="77"/>
    </row>
    <row r="1233" spans="2:9" x14ac:dyDescent="0.3">
      <c r="B1233" s="77">
        <v>44453</v>
      </c>
      <c r="C1233">
        <v>17380</v>
      </c>
      <c r="I1233" s="77"/>
    </row>
    <row r="1234" spans="2:9" x14ac:dyDescent="0.3">
      <c r="B1234" s="77">
        <v>44452</v>
      </c>
      <c r="C1234">
        <v>17355.3</v>
      </c>
      <c r="I1234" s="77"/>
    </row>
    <row r="1235" spans="2:9" x14ac:dyDescent="0.3">
      <c r="B1235" s="77">
        <v>44448</v>
      </c>
      <c r="C1235">
        <v>17369.25</v>
      </c>
      <c r="I1235" s="77"/>
    </row>
    <row r="1236" spans="2:9" x14ac:dyDescent="0.3">
      <c r="B1236" s="77">
        <v>44447</v>
      </c>
      <c r="C1236">
        <v>17353.5</v>
      </c>
      <c r="I1236" s="77"/>
    </row>
    <row r="1237" spans="2:9" x14ac:dyDescent="0.3">
      <c r="B1237" s="77">
        <v>44446</v>
      </c>
      <c r="C1237">
        <v>17362.099999999999</v>
      </c>
      <c r="I1237" s="77"/>
    </row>
    <row r="1238" spans="2:9" x14ac:dyDescent="0.3">
      <c r="B1238" s="77">
        <v>44445</v>
      </c>
      <c r="C1238">
        <v>17377.8</v>
      </c>
      <c r="I1238" s="77"/>
    </row>
    <row r="1239" spans="2:9" x14ac:dyDescent="0.3">
      <c r="B1239" s="77">
        <v>44442</v>
      </c>
      <c r="C1239">
        <v>17323.599999999999</v>
      </c>
      <c r="I1239" s="77"/>
    </row>
    <row r="1240" spans="2:9" x14ac:dyDescent="0.3">
      <c r="B1240" s="77">
        <v>44441</v>
      </c>
      <c r="C1240">
        <v>17234.150000000001</v>
      </c>
      <c r="I1240" s="77"/>
    </row>
    <row r="1241" spans="2:9" x14ac:dyDescent="0.3">
      <c r="B1241" s="77">
        <v>44440</v>
      </c>
      <c r="C1241">
        <v>17076.25</v>
      </c>
      <c r="I1241" s="77"/>
    </row>
    <row r="1242" spans="2:9" x14ac:dyDescent="0.3">
      <c r="B1242" s="77">
        <v>44439</v>
      </c>
      <c r="C1242">
        <v>17132.2</v>
      </c>
      <c r="I1242" s="77"/>
    </row>
    <row r="1243" spans="2:9" x14ac:dyDescent="0.3">
      <c r="B1243" s="77">
        <v>44438</v>
      </c>
      <c r="C1243">
        <v>16931.05</v>
      </c>
      <c r="I1243" s="77"/>
    </row>
    <row r="1244" spans="2:9" x14ac:dyDescent="0.3">
      <c r="B1244" s="77">
        <v>44435</v>
      </c>
      <c r="C1244">
        <v>16705.2</v>
      </c>
      <c r="I1244" s="77"/>
    </row>
    <row r="1245" spans="2:9" x14ac:dyDescent="0.3">
      <c r="B1245" s="77">
        <v>44434</v>
      </c>
      <c r="C1245">
        <v>16636.900000000001</v>
      </c>
      <c r="I1245" s="77"/>
    </row>
    <row r="1246" spans="2:9" x14ac:dyDescent="0.3">
      <c r="B1246" s="77">
        <v>44433</v>
      </c>
      <c r="C1246">
        <v>16634.650000000001</v>
      </c>
      <c r="I1246" s="77"/>
    </row>
    <row r="1247" spans="2:9" x14ac:dyDescent="0.3">
      <c r="B1247" s="77">
        <v>44432</v>
      </c>
      <c r="C1247">
        <v>16624.599999999999</v>
      </c>
      <c r="I1247" s="77"/>
    </row>
    <row r="1248" spans="2:9" x14ac:dyDescent="0.3">
      <c r="B1248" s="77">
        <v>44431</v>
      </c>
      <c r="C1248">
        <v>16496.45</v>
      </c>
      <c r="I1248" s="77"/>
    </row>
    <row r="1249" spans="2:9" x14ac:dyDescent="0.3">
      <c r="B1249" s="77">
        <v>44428</v>
      </c>
      <c r="C1249">
        <v>16450.5</v>
      </c>
      <c r="I1249" s="77"/>
    </row>
    <row r="1250" spans="2:9" x14ac:dyDescent="0.3">
      <c r="B1250" s="77">
        <v>44426</v>
      </c>
      <c r="C1250">
        <v>16568.849999999999</v>
      </c>
      <c r="I1250" s="77"/>
    </row>
    <row r="1251" spans="2:9" x14ac:dyDescent="0.3">
      <c r="B1251" s="77">
        <v>44425</v>
      </c>
      <c r="C1251">
        <v>16614.599999999999</v>
      </c>
      <c r="I1251" s="77"/>
    </row>
    <row r="1252" spans="2:9" x14ac:dyDescent="0.3">
      <c r="B1252" s="77">
        <v>44424</v>
      </c>
      <c r="C1252">
        <v>16563.05</v>
      </c>
      <c r="I1252" s="77"/>
    </row>
    <row r="1253" spans="2:9" x14ac:dyDescent="0.3">
      <c r="B1253" s="77">
        <v>44421</v>
      </c>
      <c r="C1253">
        <v>16529.099999999999</v>
      </c>
      <c r="I1253" s="77"/>
    </row>
    <row r="1254" spans="2:9" x14ac:dyDescent="0.3">
      <c r="B1254" s="77">
        <v>44420</v>
      </c>
      <c r="C1254">
        <v>16364.4</v>
      </c>
      <c r="I1254" s="77"/>
    </row>
    <row r="1255" spans="2:9" x14ac:dyDescent="0.3">
      <c r="B1255" s="77">
        <v>44419</v>
      </c>
      <c r="C1255">
        <v>16282.25</v>
      </c>
      <c r="I1255" s="77"/>
    </row>
    <row r="1256" spans="2:9" x14ac:dyDescent="0.3">
      <c r="B1256" s="77">
        <v>44418</v>
      </c>
      <c r="C1256">
        <v>16280.1</v>
      </c>
      <c r="I1256" s="77"/>
    </row>
    <row r="1257" spans="2:9" x14ac:dyDescent="0.3">
      <c r="B1257" s="77">
        <v>44417</v>
      </c>
      <c r="C1257">
        <v>16258.25</v>
      </c>
      <c r="I1257" s="77"/>
    </row>
    <row r="1258" spans="2:9" x14ac:dyDescent="0.3">
      <c r="B1258" s="77">
        <v>44414</v>
      </c>
      <c r="C1258">
        <v>16238.2</v>
      </c>
      <c r="I1258" s="77"/>
    </row>
    <row r="1259" spans="2:9" x14ac:dyDescent="0.3">
      <c r="B1259" s="77">
        <v>44413</v>
      </c>
      <c r="C1259">
        <v>16294.6</v>
      </c>
      <c r="I1259" s="77"/>
    </row>
    <row r="1260" spans="2:9" x14ac:dyDescent="0.3">
      <c r="B1260" s="77">
        <v>44412</v>
      </c>
      <c r="C1260">
        <v>16258.8</v>
      </c>
      <c r="I1260" s="77"/>
    </row>
    <row r="1261" spans="2:9" x14ac:dyDescent="0.3">
      <c r="B1261" s="77">
        <v>44411</v>
      </c>
      <c r="C1261">
        <v>16130.75</v>
      </c>
      <c r="I1261" s="77"/>
    </row>
    <row r="1262" spans="2:9" x14ac:dyDescent="0.3">
      <c r="B1262" s="77">
        <v>44410</v>
      </c>
      <c r="C1262">
        <v>15885.15</v>
      </c>
      <c r="I1262" s="77"/>
    </row>
    <row r="1263" spans="2:9" x14ac:dyDescent="0.3">
      <c r="B1263" s="77">
        <v>44407</v>
      </c>
      <c r="C1263">
        <v>15763.05</v>
      </c>
      <c r="I1263" s="77"/>
    </row>
    <row r="1264" spans="2:9" x14ac:dyDescent="0.3">
      <c r="B1264" s="77">
        <v>44406</v>
      </c>
      <c r="C1264">
        <v>15778.45</v>
      </c>
      <c r="I1264" s="77"/>
    </row>
    <row r="1265" spans="2:9" x14ac:dyDescent="0.3">
      <c r="B1265" s="77">
        <v>44405</v>
      </c>
      <c r="C1265">
        <v>15709.4</v>
      </c>
      <c r="I1265" s="77"/>
    </row>
    <row r="1266" spans="2:9" x14ac:dyDescent="0.3">
      <c r="B1266" s="77">
        <v>44404</v>
      </c>
      <c r="C1266">
        <v>15746.45</v>
      </c>
      <c r="I1266" s="77"/>
    </row>
    <row r="1267" spans="2:9" x14ac:dyDescent="0.3">
      <c r="B1267" s="77">
        <v>44403</v>
      </c>
      <c r="C1267">
        <v>15824.45</v>
      </c>
      <c r="I1267" s="77"/>
    </row>
    <row r="1268" spans="2:9" x14ac:dyDescent="0.3">
      <c r="B1268" s="77">
        <v>44400</v>
      </c>
      <c r="C1268">
        <v>15856.05</v>
      </c>
      <c r="I1268" s="77"/>
    </row>
    <row r="1269" spans="2:9" x14ac:dyDescent="0.3">
      <c r="B1269" s="77">
        <v>44399</v>
      </c>
      <c r="C1269">
        <v>15824.05</v>
      </c>
      <c r="I1269" s="77"/>
    </row>
    <row r="1270" spans="2:9" x14ac:dyDescent="0.3">
      <c r="B1270" s="77">
        <v>44397</v>
      </c>
      <c r="C1270">
        <v>15632.1</v>
      </c>
      <c r="I1270" s="77"/>
    </row>
    <row r="1271" spans="2:9" x14ac:dyDescent="0.3">
      <c r="B1271" s="77">
        <v>44396</v>
      </c>
      <c r="C1271">
        <v>15752.4</v>
      </c>
      <c r="I1271" s="77"/>
    </row>
    <row r="1272" spans="2:9" x14ac:dyDescent="0.3">
      <c r="B1272" s="77">
        <v>44393</v>
      </c>
      <c r="C1272">
        <v>15923.4</v>
      </c>
      <c r="I1272" s="77"/>
    </row>
    <row r="1273" spans="2:9" x14ac:dyDescent="0.3">
      <c r="B1273" s="77">
        <v>44392</v>
      </c>
      <c r="C1273">
        <v>15924.2</v>
      </c>
      <c r="I1273" s="77"/>
    </row>
    <row r="1274" spans="2:9" x14ac:dyDescent="0.3">
      <c r="B1274" s="77">
        <v>44391</v>
      </c>
      <c r="C1274">
        <v>15853.95</v>
      </c>
      <c r="I1274" s="77"/>
    </row>
    <row r="1275" spans="2:9" x14ac:dyDescent="0.3">
      <c r="B1275" s="77">
        <v>44390</v>
      </c>
      <c r="C1275">
        <v>15812.35</v>
      </c>
      <c r="I1275" s="77"/>
    </row>
    <row r="1276" spans="2:9" x14ac:dyDescent="0.3">
      <c r="B1276" s="77">
        <v>44389</v>
      </c>
      <c r="C1276">
        <v>15692.6</v>
      </c>
      <c r="I1276" s="77"/>
    </row>
    <row r="1277" spans="2:9" x14ac:dyDescent="0.3">
      <c r="B1277" s="77">
        <v>44386</v>
      </c>
      <c r="C1277">
        <v>15689.8</v>
      </c>
      <c r="I1277" s="77"/>
    </row>
    <row r="1278" spans="2:9" x14ac:dyDescent="0.3">
      <c r="B1278" s="77">
        <v>44385</v>
      </c>
      <c r="C1278">
        <v>15727.9</v>
      </c>
      <c r="I1278" s="77"/>
    </row>
    <row r="1279" spans="2:9" x14ac:dyDescent="0.3">
      <c r="B1279" s="77">
        <v>44384</v>
      </c>
      <c r="C1279">
        <v>15879.65</v>
      </c>
      <c r="I1279" s="77"/>
    </row>
    <row r="1280" spans="2:9" x14ac:dyDescent="0.3">
      <c r="B1280" s="77">
        <v>44383</v>
      </c>
      <c r="C1280">
        <v>15818.25</v>
      </c>
      <c r="I1280" s="77"/>
    </row>
    <row r="1281" spans="2:9" x14ac:dyDescent="0.3">
      <c r="B1281" s="77">
        <v>44382</v>
      </c>
      <c r="C1281">
        <v>15834.35</v>
      </c>
      <c r="I1281" s="77"/>
    </row>
    <row r="1282" spans="2:9" x14ac:dyDescent="0.3">
      <c r="B1282" s="77">
        <v>44379</v>
      </c>
      <c r="C1282">
        <v>15722.2</v>
      </c>
      <c r="I1282" s="77"/>
    </row>
    <row r="1283" spans="2:9" x14ac:dyDescent="0.3">
      <c r="B1283" s="77">
        <v>44378</v>
      </c>
      <c r="C1283">
        <v>15680</v>
      </c>
      <c r="I1283" s="77"/>
    </row>
    <row r="1284" spans="2:9" x14ac:dyDescent="0.3">
      <c r="B1284" s="77">
        <v>44377</v>
      </c>
      <c r="C1284">
        <v>15721.5</v>
      </c>
      <c r="I1284" s="77"/>
    </row>
    <row r="1285" spans="2:9" x14ac:dyDescent="0.3">
      <c r="B1285" s="77">
        <v>44376</v>
      </c>
      <c r="C1285">
        <v>15748.45</v>
      </c>
      <c r="I1285" s="77"/>
    </row>
    <row r="1286" spans="2:9" x14ac:dyDescent="0.3">
      <c r="B1286" s="77">
        <v>44375</v>
      </c>
      <c r="C1286">
        <v>15814.7</v>
      </c>
      <c r="I1286" s="77"/>
    </row>
    <row r="1287" spans="2:9" x14ac:dyDescent="0.3">
      <c r="B1287" s="77">
        <v>44372</v>
      </c>
      <c r="C1287">
        <v>15860.35</v>
      </c>
      <c r="I1287" s="77"/>
    </row>
    <row r="1288" spans="2:9" x14ac:dyDescent="0.3">
      <c r="B1288" s="77">
        <v>44371</v>
      </c>
      <c r="C1288">
        <v>15790.45</v>
      </c>
      <c r="I1288" s="77"/>
    </row>
    <row r="1289" spans="2:9" x14ac:dyDescent="0.3">
      <c r="B1289" s="77">
        <v>44370</v>
      </c>
      <c r="C1289">
        <v>15686.95</v>
      </c>
      <c r="I1289" s="77"/>
    </row>
    <row r="1290" spans="2:9" x14ac:dyDescent="0.3">
      <c r="B1290" s="77">
        <v>44369</v>
      </c>
      <c r="C1290">
        <v>15772.75</v>
      </c>
      <c r="I1290" s="77"/>
    </row>
    <row r="1291" spans="2:9" x14ac:dyDescent="0.3">
      <c r="B1291" s="77">
        <v>44368</v>
      </c>
      <c r="C1291">
        <v>15746.5</v>
      </c>
      <c r="I1291" s="77"/>
    </row>
    <row r="1292" spans="2:9" x14ac:dyDescent="0.3">
      <c r="B1292" s="77">
        <v>44365</v>
      </c>
      <c r="C1292">
        <v>15683.35</v>
      </c>
      <c r="I1292" s="77"/>
    </row>
    <row r="1293" spans="2:9" x14ac:dyDescent="0.3">
      <c r="B1293" s="77">
        <v>44364</v>
      </c>
      <c r="C1293">
        <v>15691.4</v>
      </c>
      <c r="I1293" s="77"/>
    </row>
    <row r="1294" spans="2:9" x14ac:dyDescent="0.3">
      <c r="B1294" s="77">
        <v>44363</v>
      </c>
      <c r="C1294">
        <v>15767.55</v>
      </c>
      <c r="I1294" s="77"/>
    </row>
    <row r="1295" spans="2:9" x14ac:dyDescent="0.3">
      <c r="B1295" s="77">
        <v>44362</v>
      </c>
      <c r="C1295">
        <v>15869.25</v>
      </c>
      <c r="I1295" s="77"/>
    </row>
    <row r="1296" spans="2:9" x14ac:dyDescent="0.3">
      <c r="B1296" s="77">
        <v>44361</v>
      </c>
      <c r="C1296">
        <v>15811.85</v>
      </c>
      <c r="I1296" s="77"/>
    </row>
    <row r="1297" spans="2:9" x14ac:dyDescent="0.3">
      <c r="B1297" s="77">
        <v>44358</v>
      </c>
      <c r="C1297">
        <v>15799.35</v>
      </c>
      <c r="I1297" s="77"/>
    </row>
    <row r="1298" spans="2:9" x14ac:dyDescent="0.3">
      <c r="B1298" s="77">
        <v>44357</v>
      </c>
      <c r="C1298">
        <v>15737.75</v>
      </c>
      <c r="I1298" s="77"/>
    </row>
    <row r="1299" spans="2:9" x14ac:dyDescent="0.3">
      <c r="B1299" s="77">
        <v>44356</v>
      </c>
      <c r="C1299">
        <v>15635.35</v>
      </c>
      <c r="I1299" s="77"/>
    </row>
    <row r="1300" spans="2:9" x14ac:dyDescent="0.3">
      <c r="B1300" s="77">
        <v>44355</v>
      </c>
      <c r="C1300">
        <v>15740.1</v>
      </c>
      <c r="I1300" s="77"/>
    </row>
    <row r="1301" spans="2:9" x14ac:dyDescent="0.3">
      <c r="B1301" s="77">
        <v>44354</v>
      </c>
      <c r="C1301">
        <v>15751.65</v>
      </c>
      <c r="I1301" s="77"/>
    </row>
    <row r="1302" spans="2:9" x14ac:dyDescent="0.3">
      <c r="B1302" s="77">
        <v>44351</v>
      </c>
      <c r="C1302">
        <v>15670.25</v>
      </c>
      <c r="I1302" s="77"/>
    </row>
    <row r="1303" spans="2:9" x14ac:dyDescent="0.3">
      <c r="B1303" s="77">
        <v>44350</v>
      </c>
      <c r="C1303">
        <v>15690.35</v>
      </c>
      <c r="I1303" s="77"/>
    </row>
    <row r="1304" spans="2:9" x14ac:dyDescent="0.3">
      <c r="B1304" s="77">
        <v>44349</v>
      </c>
      <c r="C1304">
        <v>15576.2</v>
      </c>
      <c r="I1304" s="77"/>
    </row>
    <row r="1305" spans="2:9" x14ac:dyDescent="0.3">
      <c r="B1305" s="77">
        <v>44348</v>
      </c>
      <c r="C1305">
        <v>15574.85</v>
      </c>
      <c r="I1305" s="77"/>
    </row>
    <row r="1306" spans="2:9" x14ac:dyDescent="0.3">
      <c r="B1306" s="77">
        <v>44347</v>
      </c>
      <c r="C1306">
        <v>15582.8</v>
      </c>
      <c r="I1306" s="77"/>
    </row>
    <row r="1307" spans="2:9" x14ac:dyDescent="0.3">
      <c r="B1307" s="77">
        <v>44344</v>
      </c>
      <c r="C1307">
        <v>15435.65</v>
      </c>
      <c r="I1307" s="77"/>
    </row>
    <row r="1308" spans="2:9" x14ac:dyDescent="0.3">
      <c r="B1308" s="77">
        <v>44343</v>
      </c>
      <c r="C1308">
        <v>15337.85</v>
      </c>
      <c r="I1308" s="77"/>
    </row>
    <row r="1309" spans="2:9" x14ac:dyDescent="0.3">
      <c r="B1309" s="77">
        <v>44342</v>
      </c>
      <c r="C1309">
        <v>15301.45</v>
      </c>
      <c r="I1309" s="77"/>
    </row>
    <row r="1310" spans="2:9" x14ac:dyDescent="0.3">
      <c r="B1310" s="77">
        <v>44341</v>
      </c>
      <c r="C1310">
        <v>15208.45</v>
      </c>
      <c r="I1310" s="77"/>
    </row>
    <row r="1311" spans="2:9" x14ac:dyDescent="0.3">
      <c r="B1311" s="77">
        <v>44340</v>
      </c>
      <c r="C1311">
        <v>15197.7</v>
      </c>
      <c r="I1311" s="77"/>
    </row>
    <row r="1312" spans="2:9" x14ac:dyDescent="0.3">
      <c r="B1312" s="77">
        <v>44337</v>
      </c>
      <c r="C1312">
        <v>15175.3</v>
      </c>
      <c r="I1312" s="77"/>
    </row>
    <row r="1313" spans="2:9" x14ac:dyDescent="0.3">
      <c r="B1313" s="77">
        <v>44336</v>
      </c>
      <c r="C1313">
        <v>14906.05</v>
      </c>
      <c r="I1313" s="77"/>
    </row>
    <row r="1314" spans="2:9" x14ac:dyDescent="0.3">
      <c r="B1314" s="77">
        <v>44335</v>
      </c>
      <c r="C1314">
        <v>15030.15</v>
      </c>
      <c r="I1314" s="77"/>
    </row>
    <row r="1315" spans="2:9" x14ac:dyDescent="0.3">
      <c r="B1315" s="77">
        <v>44334</v>
      </c>
      <c r="C1315">
        <v>15108.1</v>
      </c>
      <c r="I1315" s="77"/>
    </row>
    <row r="1316" spans="2:9" x14ac:dyDescent="0.3">
      <c r="B1316" s="77">
        <v>44333</v>
      </c>
      <c r="C1316">
        <v>14923.15</v>
      </c>
      <c r="I1316" s="77"/>
    </row>
    <row r="1317" spans="2:9" x14ac:dyDescent="0.3">
      <c r="B1317" s="77">
        <v>44330</v>
      </c>
      <c r="C1317">
        <v>14677.8</v>
      </c>
      <c r="I1317" s="77"/>
    </row>
    <row r="1318" spans="2:9" x14ac:dyDescent="0.3">
      <c r="B1318" s="77">
        <v>44328</v>
      </c>
      <c r="C1318">
        <v>14696.5</v>
      </c>
      <c r="I1318" s="77"/>
    </row>
    <row r="1319" spans="2:9" x14ac:dyDescent="0.3">
      <c r="B1319" s="77">
        <v>44327</v>
      </c>
      <c r="C1319">
        <v>14850.75</v>
      </c>
      <c r="I1319" s="77"/>
    </row>
    <row r="1320" spans="2:9" x14ac:dyDescent="0.3">
      <c r="B1320" s="77">
        <v>44326</v>
      </c>
      <c r="C1320">
        <v>14942.35</v>
      </c>
      <c r="I1320" s="77"/>
    </row>
    <row r="1321" spans="2:9" x14ac:dyDescent="0.3">
      <c r="B1321" s="77">
        <v>44323</v>
      </c>
      <c r="C1321">
        <v>14823.15</v>
      </c>
      <c r="I1321" s="77"/>
    </row>
    <row r="1322" spans="2:9" x14ac:dyDescent="0.3">
      <c r="B1322" s="77">
        <v>44322</v>
      </c>
      <c r="C1322">
        <v>14724.8</v>
      </c>
      <c r="I1322" s="77"/>
    </row>
    <row r="1323" spans="2:9" x14ac:dyDescent="0.3">
      <c r="B1323" s="77">
        <v>44321</v>
      </c>
      <c r="C1323">
        <v>14617.85</v>
      </c>
      <c r="I1323" s="77"/>
    </row>
    <row r="1324" spans="2:9" x14ac:dyDescent="0.3">
      <c r="B1324" s="77">
        <v>44320</v>
      </c>
      <c r="C1324">
        <v>14496.5</v>
      </c>
      <c r="I1324" s="77"/>
    </row>
    <row r="1325" spans="2:9" x14ac:dyDescent="0.3">
      <c r="B1325" s="77">
        <v>44319</v>
      </c>
      <c r="C1325">
        <v>14634.15</v>
      </c>
      <c r="I1325" s="77"/>
    </row>
    <row r="1326" spans="2:9" x14ac:dyDescent="0.3">
      <c r="B1326" s="77">
        <v>44316</v>
      </c>
      <c r="C1326">
        <v>14631.1</v>
      </c>
      <c r="I1326" s="77"/>
    </row>
    <row r="1327" spans="2:9" x14ac:dyDescent="0.3">
      <c r="B1327" s="77">
        <v>44315</v>
      </c>
      <c r="C1327">
        <v>14894.9</v>
      </c>
      <c r="I1327" s="77"/>
    </row>
    <row r="1328" spans="2:9" x14ac:dyDescent="0.3">
      <c r="B1328" s="77">
        <v>44314</v>
      </c>
      <c r="C1328">
        <v>14864.55</v>
      </c>
      <c r="I1328" s="77"/>
    </row>
    <row r="1329" spans="2:9" x14ac:dyDescent="0.3">
      <c r="B1329" s="77">
        <v>44313</v>
      </c>
      <c r="C1329">
        <v>14653.05</v>
      </c>
      <c r="I1329" s="77"/>
    </row>
    <row r="1330" spans="2:9" x14ac:dyDescent="0.3">
      <c r="B1330" s="77">
        <v>44312</v>
      </c>
      <c r="C1330">
        <v>14485</v>
      </c>
      <c r="I1330" s="77"/>
    </row>
    <row r="1331" spans="2:9" x14ac:dyDescent="0.3">
      <c r="B1331" s="77">
        <v>44309</v>
      </c>
      <c r="C1331">
        <v>14341.35</v>
      </c>
      <c r="I1331" s="77"/>
    </row>
    <row r="1332" spans="2:9" x14ac:dyDescent="0.3">
      <c r="B1332" s="77">
        <v>44308</v>
      </c>
      <c r="C1332">
        <v>14406.15</v>
      </c>
      <c r="I1332" s="77"/>
    </row>
    <row r="1333" spans="2:9" x14ac:dyDescent="0.3">
      <c r="B1333" s="77">
        <v>44306</v>
      </c>
      <c r="C1333">
        <v>14296.4</v>
      </c>
      <c r="I1333" s="77"/>
    </row>
    <row r="1334" spans="2:9" x14ac:dyDescent="0.3">
      <c r="B1334" s="77">
        <v>44305</v>
      </c>
      <c r="C1334">
        <v>14359.45</v>
      </c>
      <c r="I1334" s="77"/>
    </row>
    <row r="1335" spans="2:9" x14ac:dyDescent="0.3">
      <c r="B1335" s="77">
        <v>44302</v>
      </c>
      <c r="C1335">
        <v>14617.85</v>
      </c>
      <c r="I1335" s="77"/>
    </row>
    <row r="1336" spans="2:9" x14ac:dyDescent="0.3">
      <c r="B1336" s="77">
        <v>44301</v>
      </c>
      <c r="C1336">
        <v>14581.45</v>
      </c>
      <c r="I1336" s="77"/>
    </row>
    <row r="1337" spans="2:9" x14ac:dyDescent="0.3">
      <c r="B1337" s="77">
        <v>44299</v>
      </c>
      <c r="C1337">
        <v>14504.8</v>
      </c>
      <c r="I1337" s="77"/>
    </row>
    <row r="1338" spans="2:9" x14ac:dyDescent="0.3">
      <c r="B1338" s="77">
        <v>44298</v>
      </c>
      <c r="C1338">
        <v>14310.8</v>
      </c>
      <c r="I1338" s="77"/>
    </row>
    <row r="1339" spans="2:9" x14ac:dyDescent="0.3">
      <c r="B1339" s="77">
        <v>44295</v>
      </c>
      <c r="C1339">
        <v>14834.85</v>
      </c>
      <c r="I1339" s="77"/>
    </row>
    <row r="1340" spans="2:9" x14ac:dyDescent="0.3">
      <c r="B1340" s="77">
        <v>44294</v>
      </c>
      <c r="C1340">
        <v>14873.8</v>
      </c>
      <c r="I1340" s="77"/>
    </row>
    <row r="1341" spans="2:9" x14ac:dyDescent="0.3">
      <c r="B1341" s="77">
        <v>44293</v>
      </c>
      <c r="C1341">
        <v>14819.05</v>
      </c>
      <c r="I1341" s="77"/>
    </row>
    <row r="1342" spans="2:9" x14ac:dyDescent="0.3">
      <c r="B1342" s="77">
        <v>44292</v>
      </c>
      <c r="C1342">
        <v>14683.5</v>
      </c>
      <c r="I1342" s="77"/>
    </row>
    <row r="1343" spans="2:9" x14ac:dyDescent="0.3">
      <c r="B1343" s="77">
        <v>44291</v>
      </c>
      <c r="C1343">
        <v>14637.8</v>
      </c>
      <c r="I1343" s="77"/>
    </row>
    <row r="1344" spans="2:9" x14ac:dyDescent="0.3">
      <c r="B1344" s="77">
        <v>44287</v>
      </c>
      <c r="C1344">
        <v>14867.35</v>
      </c>
      <c r="I1344" s="77"/>
    </row>
    <row r="1345" spans="2:9" x14ac:dyDescent="0.3">
      <c r="B1345" s="77">
        <v>44286</v>
      </c>
      <c r="C1345">
        <v>14690.7</v>
      </c>
      <c r="I1345" s="77"/>
    </row>
    <row r="1346" spans="2:9" x14ac:dyDescent="0.3">
      <c r="B1346" s="77">
        <v>44285</v>
      </c>
      <c r="C1346">
        <v>14845.1</v>
      </c>
      <c r="I1346" s="77"/>
    </row>
    <row r="1347" spans="2:9" x14ac:dyDescent="0.3">
      <c r="B1347" s="77">
        <v>44281</v>
      </c>
      <c r="C1347">
        <v>14507.3</v>
      </c>
      <c r="I1347" s="77"/>
    </row>
    <row r="1348" spans="2:9" x14ac:dyDescent="0.3">
      <c r="B1348" s="77">
        <v>44280</v>
      </c>
      <c r="C1348">
        <v>14324.9</v>
      </c>
      <c r="I1348" s="77"/>
    </row>
    <row r="1349" spans="2:9" x14ac:dyDescent="0.3">
      <c r="B1349" s="77">
        <v>44279</v>
      </c>
      <c r="C1349">
        <v>14549.4</v>
      </c>
      <c r="I1349" s="77"/>
    </row>
    <row r="1350" spans="2:9" x14ac:dyDescent="0.3">
      <c r="B1350" s="77">
        <v>44278</v>
      </c>
      <c r="C1350">
        <v>14814.75</v>
      </c>
      <c r="I1350" s="77"/>
    </row>
    <row r="1351" spans="2:9" x14ac:dyDescent="0.3">
      <c r="B1351" s="77">
        <v>44277</v>
      </c>
      <c r="C1351">
        <v>14736.4</v>
      </c>
      <c r="I1351" s="77"/>
    </row>
    <row r="1352" spans="2:9" x14ac:dyDescent="0.3">
      <c r="B1352" s="77">
        <v>44274</v>
      </c>
      <c r="C1352">
        <v>14744</v>
      </c>
      <c r="I1352" s="77"/>
    </row>
    <row r="1353" spans="2:9" x14ac:dyDescent="0.3">
      <c r="B1353" s="77">
        <v>44273</v>
      </c>
      <c r="C1353">
        <v>14557.85</v>
      </c>
      <c r="I1353" s="77"/>
    </row>
    <row r="1354" spans="2:9" x14ac:dyDescent="0.3">
      <c r="B1354" s="77">
        <v>44272</v>
      </c>
      <c r="C1354">
        <v>14721.3</v>
      </c>
      <c r="I1354" s="77"/>
    </row>
    <row r="1355" spans="2:9" x14ac:dyDescent="0.3">
      <c r="B1355" s="77">
        <v>44271</v>
      </c>
      <c r="C1355">
        <v>14910.45</v>
      </c>
      <c r="I1355" s="77"/>
    </row>
    <row r="1356" spans="2:9" x14ac:dyDescent="0.3">
      <c r="B1356" s="77">
        <v>44270</v>
      </c>
      <c r="C1356">
        <v>14929.5</v>
      </c>
      <c r="I1356" s="77"/>
    </row>
    <row r="1357" spans="2:9" x14ac:dyDescent="0.3">
      <c r="B1357" s="77">
        <v>44267</v>
      </c>
      <c r="C1357">
        <v>15030.95</v>
      </c>
      <c r="I1357" s="77"/>
    </row>
    <row r="1358" spans="2:9" x14ac:dyDescent="0.3">
      <c r="B1358" s="77">
        <v>44265</v>
      </c>
      <c r="C1358">
        <v>15174.8</v>
      </c>
      <c r="I1358" s="77"/>
    </row>
    <row r="1359" spans="2:9" x14ac:dyDescent="0.3">
      <c r="B1359" s="77">
        <v>44264</v>
      </c>
      <c r="C1359">
        <v>15098.4</v>
      </c>
      <c r="I1359" s="77"/>
    </row>
    <row r="1360" spans="2:9" x14ac:dyDescent="0.3">
      <c r="B1360" s="77">
        <v>44263</v>
      </c>
      <c r="C1360">
        <v>14956.2</v>
      </c>
      <c r="I1360" s="77"/>
    </row>
    <row r="1361" spans="2:9" x14ac:dyDescent="0.3">
      <c r="B1361" s="77">
        <v>44260</v>
      </c>
      <c r="C1361">
        <v>14938.1</v>
      </c>
      <c r="I1361" s="77"/>
    </row>
    <row r="1362" spans="2:9" x14ac:dyDescent="0.3">
      <c r="B1362" s="77">
        <v>44259</v>
      </c>
      <c r="C1362">
        <v>15080.75</v>
      </c>
      <c r="I1362" s="77"/>
    </row>
    <row r="1363" spans="2:9" x14ac:dyDescent="0.3">
      <c r="B1363" s="77">
        <v>44258</v>
      </c>
      <c r="C1363">
        <v>15245.6</v>
      </c>
      <c r="I1363" s="77"/>
    </row>
    <row r="1364" spans="2:9" x14ac:dyDescent="0.3">
      <c r="B1364" s="77">
        <v>44257</v>
      </c>
      <c r="C1364">
        <v>14919.1</v>
      </c>
      <c r="I1364" s="77"/>
    </row>
    <row r="1365" spans="2:9" x14ac:dyDescent="0.3">
      <c r="B1365" s="77">
        <v>44256</v>
      </c>
      <c r="C1365">
        <v>14761.55</v>
      </c>
      <c r="I1365" s="77"/>
    </row>
    <row r="1366" spans="2:9" x14ac:dyDescent="0.3">
      <c r="B1366" s="77">
        <v>44253</v>
      </c>
      <c r="C1366">
        <v>14529.15</v>
      </c>
      <c r="I1366" s="77"/>
    </row>
    <row r="1367" spans="2:9" x14ac:dyDescent="0.3">
      <c r="B1367" s="77">
        <v>44252</v>
      </c>
      <c r="C1367">
        <v>15097.35</v>
      </c>
      <c r="I1367" s="77"/>
    </row>
    <row r="1368" spans="2:9" x14ac:dyDescent="0.3">
      <c r="B1368" s="77">
        <v>44251</v>
      </c>
      <c r="C1368">
        <v>14982</v>
      </c>
      <c r="I1368" s="77"/>
    </row>
    <row r="1369" spans="2:9" x14ac:dyDescent="0.3">
      <c r="B1369" s="77">
        <v>44250</v>
      </c>
      <c r="C1369">
        <v>14707.8</v>
      </c>
      <c r="I1369" s="77"/>
    </row>
    <row r="1370" spans="2:9" x14ac:dyDescent="0.3">
      <c r="B1370" s="77">
        <v>44249</v>
      </c>
      <c r="C1370">
        <v>14675.7</v>
      </c>
      <c r="I1370" s="77"/>
    </row>
    <row r="1371" spans="2:9" x14ac:dyDescent="0.3">
      <c r="B1371" s="77">
        <v>44246</v>
      </c>
      <c r="C1371">
        <v>14981.75</v>
      </c>
      <c r="I1371" s="77"/>
    </row>
    <row r="1372" spans="2:9" x14ac:dyDescent="0.3">
      <c r="B1372" s="77">
        <v>44245</v>
      </c>
      <c r="C1372">
        <v>15118.95</v>
      </c>
      <c r="I1372" s="77"/>
    </row>
    <row r="1373" spans="2:9" x14ac:dyDescent="0.3">
      <c r="B1373" s="77">
        <v>44244</v>
      </c>
      <c r="C1373">
        <v>15208.9</v>
      </c>
      <c r="I1373" s="77"/>
    </row>
    <row r="1374" spans="2:9" x14ac:dyDescent="0.3">
      <c r="B1374" s="77">
        <v>44243</v>
      </c>
      <c r="C1374">
        <v>15313.45</v>
      </c>
      <c r="I1374" s="77"/>
    </row>
    <row r="1375" spans="2:9" x14ac:dyDescent="0.3">
      <c r="B1375" s="77">
        <v>44242</v>
      </c>
      <c r="C1375">
        <v>15314.7</v>
      </c>
      <c r="I1375" s="77"/>
    </row>
    <row r="1376" spans="2:9" x14ac:dyDescent="0.3">
      <c r="B1376" s="77">
        <v>44239</v>
      </c>
      <c r="C1376">
        <v>15163.3</v>
      </c>
      <c r="I1376" s="77"/>
    </row>
    <row r="1377" spans="2:9" x14ac:dyDescent="0.3">
      <c r="B1377" s="77">
        <v>44238</v>
      </c>
      <c r="C1377">
        <v>15173.3</v>
      </c>
      <c r="I1377" s="77"/>
    </row>
    <row r="1378" spans="2:9" x14ac:dyDescent="0.3">
      <c r="B1378" s="77">
        <v>44237</v>
      </c>
      <c r="C1378">
        <v>15106.5</v>
      </c>
      <c r="I1378" s="77"/>
    </row>
    <row r="1379" spans="2:9" x14ac:dyDescent="0.3">
      <c r="B1379" s="77">
        <v>44236</v>
      </c>
      <c r="C1379">
        <v>15109.3</v>
      </c>
      <c r="I1379" s="77"/>
    </row>
    <row r="1380" spans="2:9" x14ac:dyDescent="0.3">
      <c r="B1380" s="77">
        <v>44235</v>
      </c>
      <c r="C1380">
        <v>15115.8</v>
      </c>
      <c r="I1380" s="77"/>
    </row>
    <row r="1381" spans="2:9" x14ac:dyDescent="0.3">
      <c r="B1381" s="77">
        <v>44232</v>
      </c>
      <c r="C1381">
        <v>14924.25</v>
      </c>
      <c r="I1381" s="77"/>
    </row>
    <row r="1382" spans="2:9" x14ac:dyDescent="0.3">
      <c r="B1382" s="77">
        <v>44231</v>
      </c>
      <c r="C1382">
        <v>14895.65</v>
      </c>
      <c r="I1382" s="77"/>
    </row>
    <row r="1383" spans="2:9" x14ac:dyDescent="0.3">
      <c r="B1383" s="77">
        <v>44230</v>
      </c>
      <c r="C1383">
        <v>14789.95</v>
      </c>
      <c r="I1383" s="77"/>
    </row>
    <row r="1384" spans="2:9" x14ac:dyDescent="0.3">
      <c r="B1384" s="77">
        <v>44229</v>
      </c>
      <c r="C1384">
        <v>14647.85</v>
      </c>
      <c r="I1384" s="77"/>
    </row>
    <row r="1385" spans="2:9" x14ac:dyDescent="0.3">
      <c r="B1385" s="77">
        <v>44228</v>
      </c>
      <c r="C1385">
        <v>14281.2</v>
      </c>
      <c r="I1385" s="77"/>
    </row>
    <row r="1386" spans="2:9" x14ac:dyDescent="0.3">
      <c r="B1386" s="77">
        <v>44225</v>
      </c>
      <c r="C1386">
        <v>13634.6</v>
      </c>
      <c r="I1386" s="77"/>
    </row>
    <row r="1387" spans="2:9" x14ac:dyDescent="0.3">
      <c r="B1387" s="77">
        <v>44224</v>
      </c>
      <c r="C1387">
        <v>13817.55</v>
      </c>
      <c r="I1387" s="77"/>
    </row>
    <row r="1388" spans="2:9" x14ac:dyDescent="0.3">
      <c r="B1388" s="77">
        <v>44223</v>
      </c>
      <c r="C1388">
        <v>13967.5</v>
      </c>
      <c r="I1388" s="77"/>
    </row>
    <row r="1389" spans="2:9" x14ac:dyDescent="0.3">
      <c r="B1389" s="77">
        <v>44221</v>
      </c>
      <c r="C1389">
        <v>14238.9</v>
      </c>
      <c r="I1389" s="77"/>
    </row>
    <row r="1390" spans="2:9" x14ac:dyDescent="0.3">
      <c r="B1390" s="77">
        <v>44218</v>
      </c>
      <c r="C1390">
        <v>14371.9</v>
      </c>
      <c r="I1390" s="77"/>
    </row>
    <row r="1391" spans="2:9" x14ac:dyDescent="0.3">
      <c r="B1391" s="77">
        <v>44217</v>
      </c>
      <c r="C1391">
        <v>14590.35</v>
      </c>
      <c r="I1391" s="77"/>
    </row>
    <row r="1392" spans="2:9" x14ac:dyDescent="0.3">
      <c r="B1392" s="77">
        <v>44216</v>
      </c>
      <c r="C1392">
        <v>14644.7</v>
      </c>
      <c r="I1392" s="77"/>
    </row>
    <row r="1393" spans="2:9" x14ac:dyDescent="0.3">
      <c r="B1393" s="77">
        <v>44215</v>
      </c>
      <c r="C1393">
        <v>14521.15</v>
      </c>
      <c r="I1393" s="77"/>
    </row>
    <row r="1394" spans="2:9" x14ac:dyDescent="0.3">
      <c r="B1394" s="77">
        <v>44214</v>
      </c>
      <c r="C1394">
        <v>14281.3</v>
      </c>
      <c r="I1394" s="77"/>
    </row>
    <row r="1395" spans="2:9" x14ac:dyDescent="0.3">
      <c r="B1395" s="77">
        <v>44211</v>
      </c>
      <c r="C1395">
        <v>14433.7</v>
      </c>
      <c r="I1395" s="77"/>
    </row>
    <row r="1396" spans="2:9" x14ac:dyDescent="0.3">
      <c r="B1396" s="77">
        <v>44210</v>
      </c>
      <c r="C1396">
        <v>14595.6</v>
      </c>
      <c r="I1396" s="77"/>
    </row>
    <row r="1397" spans="2:9" x14ac:dyDescent="0.3">
      <c r="B1397" s="77">
        <v>44209</v>
      </c>
      <c r="C1397">
        <v>14564.85</v>
      </c>
      <c r="I1397" s="77"/>
    </row>
    <row r="1398" spans="2:9" x14ac:dyDescent="0.3">
      <c r="B1398" s="77">
        <v>44208</v>
      </c>
      <c r="C1398">
        <v>14563.45</v>
      </c>
      <c r="I1398" s="77"/>
    </row>
    <row r="1399" spans="2:9" x14ac:dyDescent="0.3">
      <c r="B1399" s="77">
        <v>44207</v>
      </c>
      <c r="C1399">
        <v>14484.75</v>
      </c>
      <c r="I1399" s="77"/>
    </row>
    <row r="1400" spans="2:9" x14ac:dyDescent="0.3">
      <c r="B1400" s="77">
        <v>44204</v>
      </c>
      <c r="C1400">
        <v>14347.25</v>
      </c>
      <c r="I1400" s="77"/>
    </row>
    <row r="1401" spans="2:9" x14ac:dyDescent="0.3">
      <c r="B1401" s="77">
        <v>44203</v>
      </c>
      <c r="C1401">
        <v>14137.35</v>
      </c>
      <c r="I1401" s="77"/>
    </row>
    <row r="1402" spans="2:9" x14ac:dyDescent="0.3">
      <c r="B1402" s="77">
        <v>44202</v>
      </c>
      <c r="C1402">
        <v>14146.25</v>
      </c>
      <c r="I1402" s="77"/>
    </row>
    <row r="1403" spans="2:9" x14ac:dyDescent="0.3">
      <c r="B1403" s="77">
        <v>44201</v>
      </c>
      <c r="C1403">
        <v>14199.5</v>
      </c>
      <c r="I1403" s="77"/>
    </row>
    <row r="1404" spans="2:9" x14ac:dyDescent="0.3">
      <c r="B1404" s="77">
        <v>44200</v>
      </c>
      <c r="C1404">
        <v>14132.9</v>
      </c>
      <c r="I1404" s="77"/>
    </row>
    <row r="1405" spans="2:9" x14ac:dyDescent="0.3">
      <c r="B1405" s="77">
        <v>44197</v>
      </c>
      <c r="C1405">
        <v>14018.5</v>
      </c>
      <c r="I1405" s="77"/>
    </row>
    <row r="1406" spans="2:9" x14ac:dyDescent="0.3">
      <c r="B1406" s="77">
        <v>44196</v>
      </c>
      <c r="C1406">
        <v>13981.75</v>
      </c>
      <c r="I1406" s="77"/>
    </row>
    <row r="1407" spans="2:9" x14ac:dyDescent="0.3">
      <c r="B1407" s="77">
        <v>44195</v>
      </c>
      <c r="C1407">
        <v>13981.95</v>
      </c>
      <c r="I1407" s="77"/>
    </row>
    <row r="1408" spans="2:9" x14ac:dyDescent="0.3">
      <c r="B1408" s="77">
        <v>44194</v>
      </c>
      <c r="C1408">
        <v>13932.6</v>
      </c>
      <c r="I1408" s="77"/>
    </row>
    <row r="1409" spans="2:9" x14ac:dyDescent="0.3">
      <c r="B1409" s="77">
        <v>44193</v>
      </c>
      <c r="C1409">
        <v>13873.2</v>
      </c>
      <c r="I1409" s="77"/>
    </row>
    <row r="1410" spans="2:9" x14ac:dyDescent="0.3">
      <c r="B1410" s="77">
        <v>44189</v>
      </c>
      <c r="C1410">
        <v>13749.25</v>
      </c>
      <c r="I1410" s="77"/>
    </row>
    <row r="1411" spans="2:9" x14ac:dyDescent="0.3">
      <c r="B1411" s="77">
        <v>44188</v>
      </c>
      <c r="C1411">
        <v>13601.1</v>
      </c>
      <c r="I1411" s="77"/>
    </row>
    <row r="1412" spans="2:9" x14ac:dyDescent="0.3">
      <c r="B1412" s="77">
        <v>44187</v>
      </c>
      <c r="C1412">
        <v>13466.3</v>
      </c>
      <c r="I1412" s="77"/>
    </row>
    <row r="1413" spans="2:9" x14ac:dyDescent="0.3">
      <c r="B1413" s="77">
        <v>44186</v>
      </c>
      <c r="C1413">
        <v>13328.4</v>
      </c>
      <c r="I1413" s="77"/>
    </row>
    <row r="1414" spans="2:9" x14ac:dyDescent="0.3">
      <c r="B1414" s="77">
        <v>44183</v>
      </c>
      <c r="C1414">
        <v>13760.55</v>
      </c>
      <c r="I1414" s="77"/>
    </row>
    <row r="1415" spans="2:9" x14ac:dyDescent="0.3">
      <c r="B1415" s="77">
        <v>44182</v>
      </c>
      <c r="C1415">
        <v>13740.7</v>
      </c>
      <c r="I1415" s="77"/>
    </row>
    <row r="1416" spans="2:9" x14ac:dyDescent="0.3">
      <c r="B1416" s="77">
        <v>44181</v>
      </c>
      <c r="C1416">
        <v>13682.7</v>
      </c>
      <c r="I1416" s="77"/>
    </row>
    <row r="1417" spans="2:9" x14ac:dyDescent="0.3">
      <c r="B1417" s="77">
        <v>44180</v>
      </c>
      <c r="C1417">
        <v>13567.85</v>
      </c>
      <c r="I1417" s="77"/>
    </row>
    <row r="1418" spans="2:9" x14ac:dyDescent="0.3">
      <c r="B1418" s="77">
        <v>44179</v>
      </c>
      <c r="C1418">
        <v>13558.15</v>
      </c>
      <c r="I1418" s="77"/>
    </row>
    <row r="1419" spans="2:9" x14ac:dyDescent="0.3">
      <c r="B1419" s="77">
        <v>44176</v>
      </c>
      <c r="C1419">
        <v>13513.85</v>
      </c>
      <c r="I1419" s="77"/>
    </row>
    <row r="1420" spans="2:9" x14ac:dyDescent="0.3">
      <c r="B1420" s="77">
        <v>44175</v>
      </c>
      <c r="C1420">
        <v>13478.3</v>
      </c>
      <c r="I1420" s="77"/>
    </row>
    <row r="1421" spans="2:9" x14ac:dyDescent="0.3">
      <c r="B1421" s="77">
        <v>44174</v>
      </c>
      <c r="C1421">
        <v>13529.1</v>
      </c>
      <c r="I1421" s="77"/>
    </row>
    <row r="1422" spans="2:9" x14ac:dyDescent="0.3">
      <c r="B1422" s="77">
        <v>44173</v>
      </c>
      <c r="C1422">
        <v>13392.95</v>
      </c>
      <c r="I1422" s="77"/>
    </row>
    <row r="1423" spans="2:9" x14ac:dyDescent="0.3">
      <c r="B1423" s="77">
        <v>44172</v>
      </c>
      <c r="C1423">
        <v>13355.75</v>
      </c>
      <c r="I1423" s="77"/>
    </row>
    <row r="1424" spans="2:9" x14ac:dyDescent="0.3">
      <c r="B1424" s="77">
        <v>44169</v>
      </c>
      <c r="C1424">
        <v>13258.55</v>
      </c>
      <c r="I1424" s="77"/>
    </row>
    <row r="1425" spans="2:9" x14ac:dyDescent="0.3">
      <c r="B1425" s="77">
        <v>44168</v>
      </c>
      <c r="C1425">
        <v>13133.9</v>
      </c>
      <c r="I1425" s="77"/>
    </row>
    <row r="1426" spans="2:9" x14ac:dyDescent="0.3">
      <c r="B1426" s="77">
        <v>44167</v>
      </c>
      <c r="C1426">
        <v>13113.75</v>
      </c>
      <c r="I1426" s="77"/>
    </row>
    <row r="1427" spans="2:9" x14ac:dyDescent="0.3">
      <c r="B1427" s="77">
        <v>44166</v>
      </c>
      <c r="C1427">
        <v>13109.05</v>
      </c>
      <c r="I1427" s="77"/>
    </row>
    <row r="1428" spans="2:9" x14ac:dyDescent="0.3">
      <c r="B1428" s="77">
        <v>44162</v>
      </c>
      <c r="C1428">
        <v>12968.95</v>
      </c>
      <c r="I1428" s="77"/>
    </row>
    <row r="1429" spans="2:9" x14ac:dyDescent="0.3">
      <c r="B1429" s="77">
        <v>44161</v>
      </c>
      <c r="C1429">
        <v>12987</v>
      </c>
      <c r="I1429" s="77"/>
    </row>
    <row r="1430" spans="2:9" x14ac:dyDescent="0.3">
      <c r="B1430" s="77">
        <v>44160</v>
      </c>
      <c r="C1430">
        <v>12858.4</v>
      </c>
      <c r="I1430" s="77"/>
    </row>
    <row r="1431" spans="2:9" x14ac:dyDescent="0.3">
      <c r="B1431" s="77">
        <v>44159</v>
      </c>
      <c r="C1431">
        <v>13055.15</v>
      </c>
      <c r="I1431" s="77"/>
    </row>
    <row r="1432" spans="2:9" x14ac:dyDescent="0.3">
      <c r="B1432" s="77">
        <v>44158</v>
      </c>
      <c r="C1432">
        <v>12926.45</v>
      </c>
      <c r="I1432" s="77"/>
    </row>
    <row r="1433" spans="2:9" x14ac:dyDescent="0.3">
      <c r="B1433" s="77">
        <v>44155</v>
      </c>
      <c r="C1433">
        <v>12859.05</v>
      </c>
      <c r="I1433" s="77"/>
    </row>
    <row r="1434" spans="2:9" x14ac:dyDescent="0.3">
      <c r="B1434" s="77">
        <v>44154</v>
      </c>
      <c r="C1434">
        <v>12771.7</v>
      </c>
      <c r="I1434" s="77"/>
    </row>
    <row r="1435" spans="2:9" x14ac:dyDescent="0.3">
      <c r="B1435" s="77">
        <v>44153</v>
      </c>
      <c r="C1435">
        <v>12938.25</v>
      </c>
      <c r="I1435" s="77"/>
    </row>
    <row r="1436" spans="2:9" x14ac:dyDescent="0.3">
      <c r="B1436" s="77">
        <v>44152</v>
      </c>
      <c r="C1436">
        <v>12874.2</v>
      </c>
      <c r="I1436" s="77"/>
    </row>
    <row r="1437" spans="2:9" x14ac:dyDescent="0.3">
      <c r="B1437" s="77">
        <v>44149</v>
      </c>
      <c r="C1437">
        <v>12780.25</v>
      </c>
      <c r="I1437" s="77"/>
    </row>
    <row r="1438" spans="2:9" x14ac:dyDescent="0.3">
      <c r="B1438" s="77">
        <v>44148</v>
      </c>
      <c r="C1438">
        <v>12719.95</v>
      </c>
      <c r="I1438" s="77"/>
    </row>
    <row r="1439" spans="2:9" x14ac:dyDescent="0.3">
      <c r="B1439" s="77">
        <v>44147</v>
      </c>
      <c r="C1439">
        <v>12690.8</v>
      </c>
      <c r="I1439" s="77"/>
    </row>
    <row r="1440" spans="2:9" x14ac:dyDescent="0.3">
      <c r="B1440" s="77">
        <v>44146</v>
      </c>
      <c r="C1440">
        <v>12749.15</v>
      </c>
      <c r="I1440" s="77"/>
    </row>
    <row r="1441" spans="2:9" x14ac:dyDescent="0.3">
      <c r="B1441" s="77">
        <v>44145</v>
      </c>
      <c r="C1441">
        <v>12631.1</v>
      </c>
      <c r="I1441" s="77"/>
    </row>
    <row r="1442" spans="2:9" x14ac:dyDescent="0.3">
      <c r="B1442" s="77">
        <v>44144</v>
      </c>
      <c r="C1442">
        <v>12461.05</v>
      </c>
      <c r="I1442" s="77"/>
    </row>
    <row r="1443" spans="2:9" x14ac:dyDescent="0.3">
      <c r="B1443" s="77">
        <v>44141</v>
      </c>
      <c r="C1443">
        <v>12263.55</v>
      </c>
      <c r="I1443" s="77"/>
    </row>
    <row r="1444" spans="2:9" x14ac:dyDescent="0.3">
      <c r="B1444" s="77">
        <v>44140</v>
      </c>
      <c r="C1444">
        <v>12120.3</v>
      </c>
      <c r="I1444" s="77"/>
    </row>
    <row r="1445" spans="2:9" x14ac:dyDescent="0.3">
      <c r="B1445" s="77">
        <v>44139</v>
      </c>
      <c r="C1445">
        <v>11908.5</v>
      </c>
      <c r="I1445" s="77"/>
    </row>
    <row r="1446" spans="2:9" x14ac:dyDescent="0.3">
      <c r="B1446" s="77">
        <v>44138</v>
      </c>
      <c r="C1446">
        <v>11813.5</v>
      </c>
      <c r="I1446" s="77"/>
    </row>
    <row r="1447" spans="2:9" x14ac:dyDescent="0.3">
      <c r="B1447" s="77">
        <v>44137</v>
      </c>
      <c r="C1447">
        <v>11669.15</v>
      </c>
      <c r="I1447" s="77"/>
    </row>
    <row r="1448" spans="2:9" x14ac:dyDescent="0.3">
      <c r="B1448" s="77">
        <v>44134</v>
      </c>
      <c r="C1448">
        <v>11642.4</v>
      </c>
      <c r="I1448" s="77"/>
    </row>
    <row r="1449" spans="2:9" x14ac:dyDescent="0.3">
      <c r="B1449" s="77">
        <v>44133</v>
      </c>
      <c r="C1449">
        <v>11670.8</v>
      </c>
      <c r="I1449" s="77"/>
    </row>
    <row r="1450" spans="2:9" x14ac:dyDescent="0.3">
      <c r="B1450" s="77">
        <v>44132</v>
      </c>
      <c r="C1450">
        <v>11729.6</v>
      </c>
      <c r="I1450" s="77"/>
    </row>
    <row r="1451" spans="2:9" x14ac:dyDescent="0.3">
      <c r="B1451" s="77">
        <v>44131</v>
      </c>
      <c r="C1451">
        <v>11889.4</v>
      </c>
      <c r="I1451" s="77"/>
    </row>
    <row r="1452" spans="2:9" x14ac:dyDescent="0.3">
      <c r="B1452" s="77">
        <v>44130</v>
      </c>
      <c r="C1452">
        <v>11767.75</v>
      </c>
      <c r="I1452" s="77"/>
    </row>
    <row r="1453" spans="2:9" x14ac:dyDescent="0.3">
      <c r="B1453" s="77">
        <v>44127</v>
      </c>
      <c r="C1453">
        <v>11930.35</v>
      </c>
      <c r="I1453" s="77"/>
    </row>
    <row r="1454" spans="2:9" x14ac:dyDescent="0.3">
      <c r="B1454" s="77">
        <v>44126</v>
      </c>
      <c r="C1454">
        <v>11896.45</v>
      </c>
      <c r="I1454" s="77"/>
    </row>
    <row r="1455" spans="2:9" x14ac:dyDescent="0.3">
      <c r="B1455" s="77">
        <v>44125</v>
      </c>
      <c r="C1455">
        <v>11937.65</v>
      </c>
      <c r="I1455" s="77"/>
    </row>
    <row r="1456" spans="2:9" x14ac:dyDescent="0.3">
      <c r="B1456" s="77">
        <v>44124</v>
      </c>
      <c r="C1456">
        <v>11896.8</v>
      </c>
      <c r="I1456" s="77"/>
    </row>
    <row r="1457" spans="2:9" x14ac:dyDescent="0.3">
      <c r="B1457" s="77">
        <v>44123</v>
      </c>
      <c r="C1457">
        <v>11873.05</v>
      </c>
      <c r="I1457" s="77"/>
    </row>
    <row r="1458" spans="2:9" x14ac:dyDescent="0.3">
      <c r="B1458" s="77">
        <v>44120</v>
      </c>
      <c r="C1458">
        <v>11762.45</v>
      </c>
      <c r="I1458" s="77"/>
    </row>
    <row r="1459" spans="2:9" x14ac:dyDescent="0.3">
      <c r="B1459" s="77">
        <v>44119</v>
      </c>
      <c r="C1459">
        <v>11680.35</v>
      </c>
      <c r="I1459" s="77"/>
    </row>
    <row r="1460" spans="2:9" x14ac:dyDescent="0.3">
      <c r="B1460" s="77">
        <v>44118</v>
      </c>
      <c r="C1460">
        <v>11971.05</v>
      </c>
      <c r="I1460" s="77"/>
    </row>
    <row r="1461" spans="2:9" x14ac:dyDescent="0.3">
      <c r="B1461" s="77">
        <v>44117</v>
      </c>
      <c r="C1461">
        <v>11934.5</v>
      </c>
      <c r="I1461" s="77"/>
    </row>
    <row r="1462" spans="2:9" x14ac:dyDescent="0.3">
      <c r="B1462" s="77">
        <v>44116</v>
      </c>
      <c r="C1462">
        <v>11930.95</v>
      </c>
      <c r="I1462" s="77"/>
    </row>
    <row r="1463" spans="2:9" x14ac:dyDescent="0.3">
      <c r="B1463" s="77">
        <v>44113</v>
      </c>
      <c r="C1463">
        <v>11914.2</v>
      </c>
      <c r="I1463" s="77"/>
    </row>
    <row r="1464" spans="2:9" x14ac:dyDescent="0.3">
      <c r="B1464" s="77">
        <v>44112</v>
      </c>
      <c r="C1464">
        <v>11834.6</v>
      </c>
      <c r="I1464" s="77"/>
    </row>
    <row r="1465" spans="2:9" x14ac:dyDescent="0.3">
      <c r="B1465" s="77">
        <v>44111</v>
      </c>
      <c r="C1465">
        <v>11738.85</v>
      </c>
      <c r="I1465" s="77"/>
    </row>
    <row r="1466" spans="2:9" x14ac:dyDescent="0.3">
      <c r="B1466" s="77">
        <v>44110</v>
      </c>
      <c r="C1466">
        <v>11662.4</v>
      </c>
      <c r="I1466" s="77"/>
    </row>
    <row r="1467" spans="2:9" x14ac:dyDescent="0.3">
      <c r="B1467" s="77">
        <v>44109</v>
      </c>
      <c r="C1467">
        <v>11503.35</v>
      </c>
      <c r="I1467" s="77"/>
    </row>
    <row r="1468" spans="2:9" x14ac:dyDescent="0.3">
      <c r="B1468" s="77">
        <v>44105</v>
      </c>
      <c r="C1468">
        <v>11416.95</v>
      </c>
      <c r="I1468" s="77"/>
    </row>
    <row r="1469" spans="2:9" x14ac:dyDescent="0.3">
      <c r="B1469" s="77">
        <v>44104</v>
      </c>
      <c r="C1469">
        <v>11247.55</v>
      </c>
      <c r="I1469" s="77"/>
    </row>
    <row r="1470" spans="2:9" x14ac:dyDescent="0.3">
      <c r="B1470" s="77">
        <v>44103</v>
      </c>
      <c r="C1470">
        <v>11222.4</v>
      </c>
      <c r="I1470" s="77"/>
    </row>
    <row r="1471" spans="2:9" x14ac:dyDescent="0.3">
      <c r="B1471" s="77">
        <v>44102</v>
      </c>
      <c r="C1471">
        <v>11227.55</v>
      </c>
      <c r="I1471" s="77"/>
    </row>
    <row r="1472" spans="2:9" x14ac:dyDescent="0.3">
      <c r="B1472" s="77">
        <v>44099</v>
      </c>
      <c r="C1472">
        <v>11050.25</v>
      </c>
      <c r="I1472" s="77"/>
    </row>
    <row r="1473" spans="2:9" x14ac:dyDescent="0.3">
      <c r="B1473" s="77">
        <v>44098</v>
      </c>
      <c r="C1473">
        <v>10805.55</v>
      </c>
      <c r="I1473" s="77"/>
    </row>
    <row r="1474" spans="2:9" x14ac:dyDescent="0.3">
      <c r="B1474" s="77">
        <v>44097</v>
      </c>
      <c r="C1474">
        <v>11131.85</v>
      </c>
      <c r="I1474" s="77"/>
    </row>
    <row r="1475" spans="2:9" x14ac:dyDescent="0.3">
      <c r="B1475" s="77">
        <v>44096</v>
      </c>
      <c r="C1475">
        <v>11153.65</v>
      </c>
      <c r="I1475" s="77"/>
    </row>
    <row r="1476" spans="2:9" x14ac:dyDescent="0.3">
      <c r="B1476" s="77">
        <v>44095</v>
      </c>
      <c r="C1476">
        <v>11250.55</v>
      </c>
      <c r="I1476" s="77"/>
    </row>
    <row r="1477" spans="2:9" x14ac:dyDescent="0.3">
      <c r="B1477" s="77">
        <v>44092</v>
      </c>
      <c r="C1477">
        <v>11504.95</v>
      </c>
      <c r="I1477" s="77"/>
    </row>
    <row r="1478" spans="2:9" x14ac:dyDescent="0.3">
      <c r="B1478" s="77">
        <v>44091</v>
      </c>
      <c r="C1478">
        <v>11516.1</v>
      </c>
      <c r="I1478" s="77"/>
    </row>
    <row r="1479" spans="2:9" x14ac:dyDescent="0.3">
      <c r="B1479" s="77">
        <v>44090</v>
      </c>
      <c r="C1479">
        <v>11604.55</v>
      </c>
      <c r="I1479" s="77"/>
    </row>
    <row r="1480" spans="2:9" x14ac:dyDescent="0.3">
      <c r="B1480" s="77">
        <v>44089</v>
      </c>
      <c r="C1480">
        <v>11521.8</v>
      </c>
      <c r="I1480" s="77"/>
    </row>
    <row r="1481" spans="2:9" x14ac:dyDescent="0.3">
      <c r="B1481" s="77">
        <v>44088</v>
      </c>
      <c r="C1481">
        <v>11440.05</v>
      </c>
      <c r="I1481" s="77"/>
    </row>
    <row r="1482" spans="2:9" x14ac:dyDescent="0.3">
      <c r="B1482" s="77">
        <v>44085</v>
      </c>
      <c r="C1482">
        <v>11464.45</v>
      </c>
      <c r="I1482" s="77"/>
    </row>
    <row r="1483" spans="2:9" x14ac:dyDescent="0.3">
      <c r="B1483" s="77">
        <v>44084</v>
      </c>
      <c r="C1483">
        <v>11449.25</v>
      </c>
      <c r="I1483" s="77"/>
    </row>
    <row r="1484" spans="2:9" x14ac:dyDescent="0.3">
      <c r="B1484" s="77">
        <v>44083</v>
      </c>
      <c r="C1484">
        <v>11278</v>
      </c>
      <c r="I1484" s="77"/>
    </row>
    <row r="1485" spans="2:9" x14ac:dyDescent="0.3">
      <c r="B1485" s="77">
        <v>44082</v>
      </c>
      <c r="C1485">
        <v>11317.35</v>
      </c>
      <c r="I1485" s="77"/>
    </row>
    <row r="1486" spans="2:9" x14ac:dyDescent="0.3">
      <c r="B1486" s="77">
        <v>44081</v>
      </c>
      <c r="C1486">
        <v>11355.05</v>
      </c>
      <c r="I1486" s="77"/>
    </row>
    <row r="1487" spans="2:9" x14ac:dyDescent="0.3">
      <c r="B1487" s="77">
        <v>44078</v>
      </c>
      <c r="C1487">
        <v>11333.85</v>
      </c>
      <c r="I1487" s="77"/>
    </row>
    <row r="1488" spans="2:9" x14ac:dyDescent="0.3">
      <c r="B1488" s="77">
        <v>44077</v>
      </c>
      <c r="C1488">
        <v>11527.45</v>
      </c>
      <c r="I1488" s="77"/>
    </row>
    <row r="1489" spans="2:9" x14ac:dyDescent="0.3">
      <c r="B1489" s="77">
        <v>44076</v>
      </c>
      <c r="C1489">
        <v>11535</v>
      </c>
      <c r="I1489" s="77"/>
    </row>
    <row r="1490" spans="2:9" x14ac:dyDescent="0.3">
      <c r="B1490" s="77">
        <v>44075</v>
      </c>
      <c r="C1490">
        <v>11470.25</v>
      </c>
      <c r="I1490" s="77"/>
    </row>
    <row r="1491" spans="2:9" x14ac:dyDescent="0.3">
      <c r="B1491" s="77">
        <v>44074</v>
      </c>
      <c r="C1491">
        <v>11387.5</v>
      </c>
      <c r="I1491" s="77"/>
    </row>
    <row r="1492" spans="2:9" x14ac:dyDescent="0.3">
      <c r="B1492" s="77">
        <v>44071</v>
      </c>
      <c r="C1492">
        <v>11647.6</v>
      </c>
      <c r="I1492" s="77"/>
    </row>
    <row r="1493" spans="2:9" x14ac:dyDescent="0.3">
      <c r="B1493" s="77">
        <v>44070</v>
      </c>
      <c r="C1493">
        <v>11559.25</v>
      </c>
      <c r="I1493" s="77"/>
    </row>
    <row r="1494" spans="2:9" x14ac:dyDescent="0.3">
      <c r="B1494" s="77">
        <v>44069</v>
      </c>
      <c r="C1494">
        <v>11549.6</v>
      </c>
      <c r="I1494" s="77"/>
    </row>
    <row r="1495" spans="2:9" x14ac:dyDescent="0.3">
      <c r="B1495" s="77">
        <v>44068</v>
      </c>
      <c r="C1495">
        <v>11472.25</v>
      </c>
      <c r="I1495" s="77"/>
    </row>
    <row r="1496" spans="2:9" x14ac:dyDescent="0.3">
      <c r="B1496" s="77">
        <v>44067</v>
      </c>
      <c r="C1496">
        <v>11466.45</v>
      </c>
      <c r="I1496" s="77"/>
    </row>
    <row r="1497" spans="2:9" x14ac:dyDescent="0.3">
      <c r="B1497" s="77">
        <v>44064</v>
      </c>
      <c r="C1497">
        <v>11371.6</v>
      </c>
      <c r="I1497" s="77"/>
    </row>
    <row r="1498" spans="2:9" x14ac:dyDescent="0.3">
      <c r="B1498" s="77">
        <v>44063</v>
      </c>
      <c r="C1498">
        <v>11312.2</v>
      </c>
      <c r="I1498" s="77"/>
    </row>
    <row r="1499" spans="2:9" x14ac:dyDescent="0.3">
      <c r="B1499" s="77">
        <v>44062</v>
      </c>
      <c r="C1499">
        <v>11408.4</v>
      </c>
      <c r="I1499" s="77"/>
    </row>
    <row r="1500" spans="2:9" x14ac:dyDescent="0.3">
      <c r="B1500" s="77">
        <v>44061</v>
      </c>
      <c r="C1500">
        <v>11385.35</v>
      </c>
      <c r="I1500" s="77"/>
    </row>
    <row r="1501" spans="2:9" x14ac:dyDescent="0.3">
      <c r="B1501" s="77">
        <v>44060</v>
      </c>
      <c r="C1501">
        <v>11247.1</v>
      </c>
      <c r="I1501" s="77"/>
    </row>
    <row r="1502" spans="2:9" x14ac:dyDescent="0.3">
      <c r="B1502" s="77">
        <v>44057</v>
      </c>
      <c r="C1502">
        <v>11178.4</v>
      </c>
      <c r="I1502" s="77"/>
    </row>
    <row r="1503" spans="2:9" x14ac:dyDescent="0.3">
      <c r="B1503" s="77">
        <v>44056</v>
      </c>
      <c r="C1503">
        <v>11300.45</v>
      </c>
      <c r="I1503" s="77"/>
    </row>
    <row r="1504" spans="2:9" x14ac:dyDescent="0.3">
      <c r="B1504" s="77">
        <v>44055</v>
      </c>
      <c r="C1504">
        <v>11308.4</v>
      </c>
      <c r="I1504" s="77"/>
    </row>
    <row r="1505" spans="2:9" x14ac:dyDescent="0.3">
      <c r="B1505" s="77">
        <v>44054</v>
      </c>
      <c r="C1505">
        <v>11322.5</v>
      </c>
      <c r="I1505" s="77"/>
    </row>
    <row r="1506" spans="2:9" x14ac:dyDescent="0.3">
      <c r="B1506" s="77">
        <v>44053</v>
      </c>
      <c r="C1506">
        <v>11270.15</v>
      </c>
      <c r="I1506" s="77"/>
    </row>
    <row r="1507" spans="2:9" x14ac:dyDescent="0.3">
      <c r="B1507" s="77">
        <v>44050</v>
      </c>
      <c r="C1507">
        <v>11214.05</v>
      </c>
      <c r="I1507" s="77"/>
    </row>
    <row r="1508" spans="2:9" x14ac:dyDescent="0.3">
      <c r="B1508" s="77">
        <v>44049</v>
      </c>
      <c r="C1508">
        <v>11200.15</v>
      </c>
      <c r="I1508" s="77"/>
    </row>
    <row r="1509" spans="2:9" x14ac:dyDescent="0.3">
      <c r="B1509" s="77">
        <v>44048</v>
      </c>
      <c r="C1509">
        <v>11101.65</v>
      </c>
      <c r="I1509" s="77"/>
    </row>
    <row r="1510" spans="2:9" x14ac:dyDescent="0.3">
      <c r="B1510" s="77">
        <v>44047</v>
      </c>
      <c r="C1510">
        <v>11095.25</v>
      </c>
      <c r="I1510" s="77"/>
    </row>
    <row r="1511" spans="2:9" x14ac:dyDescent="0.3">
      <c r="B1511" s="77">
        <v>44046</v>
      </c>
      <c r="C1511">
        <v>10891.6</v>
      </c>
      <c r="I1511" s="77"/>
    </row>
    <row r="1512" spans="2:9" x14ac:dyDescent="0.3">
      <c r="B1512" s="77">
        <v>44043</v>
      </c>
      <c r="C1512">
        <v>11073.45</v>
      </c>
      <c r="I1512" s="77"/>
    </row>
    <row r="1513" spans="2:9" x14ac:dyDescent="0.3">
      <c r="B1513" s="77">
        <v>44042</v>
      </c>
      <c r="C1513">
        <v>11102.15</v>
      </c>
      <c r="I1513" s="77"/>
    </row>
    <row r="1514" spans="2:9" x14ac:dyDescent="0.3">
      <c r="B1514" s="77">
        <v>44041</v>
      </c>
      <c r="C1514">
        <v>11202.85</v>
      </c>
      <c r="I1514" s="77"/>
    </row>
    <row r="1515" spans="2:9" x14ac:dyDescent="0.3">
      <c r="B1515" s="77">
        <v>44040</v>
      </c>
      <c r="C1515">
        <v>11300.55</v>
      </c>
      <c r="I1515" s="77"/>
    </row>
    <row r="1516" spans="2:9" x14ac:dyDescent="0.3">
      <c r="B1516" s="77">
        <v>44039</v>
      </c>
      <c r="C1516">
        <v>11131.8</v>
      </c>
      <c r="I1516" s="77"/>
    </row>
    <row r="1517" spans="2:9" x14ac:dyDescent="0.3">
      <c r="B1517" s="77">
        <v>44036</v>
      </c>
      <c r="C1517">
        <v>11194.15</v>
      </c>
      <c r="I1517" s="77"/>
    </row>
    <row r="1518" spans="2:9" x14ac:dyDescent="0.3">
      <c r="B1518" s="77">
        <v>44035</v>
      </c>
      <c r="C1518">
        <v>11215.45</v>
      </c>
      <c r="I1518" s="77"/>
    </row>
    <row r="1519" spans="2:9" x14ac:dyDescent="0.3">
      <c r="B1519" s="77">
        <v>44034</v>
      </c>
      <c r="C1519">
        <v>11132.6</v>
      </c>
      <c r="I1519" s="77"/>
    </row>
    <row r="1520" spans="2:9" x14ac:dyDescent="0.3">
      <c r="B1520" s="77">
        <v>44033</v>
      </c>
      <c r="C1520">
        <v>11162.25</v>
      </c>
      <c r="I1520" s="77"/>
    </row>
    <row r="1521" spans="2:9" x14ac:dyDescent="0.3">
      <c r="B1521" s="77">
        <v>44032</v>
      </c>
      <c r="C1521">
        <v>11022.2</v>
      </c>
      <c r="I1521" s="77"/>
    </row>
    <row r="1522" spans="2:9" x14ac:dyDescent="0.3">
      <c r="B1522" s="77">
        <v>44029</v>
      </c>
      <c r="C1522">
        <v>10901.7</v>
      </c>
      <c r="I1522" s="77"/>
    </row>
    <row r="1523" spans="2:9" x14ac:dyDescent="0.3">
      <c r="B1523" s="77">
        <v>44028</v>
      </c>
      <c r="C1523">
        <v>10739.95</v>
      </c>
      <c r="I1523" s="77"/>
    </row>
    <row r="1524" spans="2:9" x14ac:dyDescent="0.3">
      <c r="B1524" s="77">
        <v>44027</v>
      </c>
      <c r="C1524">
        <v>10618.2</v>
      </c>
      <c r="I1524" s="77"/>
    </row>
    <row r="1525" spans="2:9" x14ac:dyDescent="0.3">
      <c r="B1525" s="77">
        <v>44026</v>
      </c>
      <c r="C1525">
        <v>10607.35</v>
      </c>
      <c r="I1525" s="77"/>
    </row>
    <row r="1526" spans="2:9" x14ac:dyDescent="0.3">
      <c r="B1526" s="77">
        <v>44025</v>
      </c>
      <c r="C1526">
        <v>10802.7</v>
      </c>
      <c r="I1526" s="77"/>
    </row>
    <row r="1527" spans="2:9" x14ac:dyDescent="0.3">
      <c r="B1527" s="77">
        <v>44022</v>
      </c>
      <c r="C1527">
        <v>10768.05</v>
      </c>
      <c r="I1527" s="77"/>
    </row>
    <row r="1528" spans="2:9" x14ac:dyDescent="0.3">
      <c r="B1528" s="77">
        <v>44021</v>
      </c>
      <c r="C1528">
        <v>10813.45</v>
      </c>
      <c r="I1528" s="77"/>
    </row>
    <row r="1529" spans="2:9" x14ac:dyDescent="0.3">
      <c r="B1529" s="77">
        <v>44020</v>
      </c>
      <c r="C1529">
        <v>10705.75</v>
      </c>
      <c r="I1529" s="77"/>
    </row>
    <row r="1530" spans="2:9" x14ac:dyDescent="0.3">
      <c r="B1530" s="77">
        <v>44019</v>
      </c>
      <c r="C1530">
        <v>10799.65</v>
      </c>
      <c r="I1530" s="77"/>
    </row>
    <row r="1531" spans="2:9" x14ac:dyDescent="0.3">
      <c r="B1531" s="77">
        <v>44018</v>
      </c>
      <c r="C1531">
        <v>10763.65</v>
      </c>
      <c r="I1531" s="77"/>
    </row>
    <row r="1532" spans="2:9" x14ac:dyDescent="0.3">
      <c r="B1532" s="77">
        <v>44015</v>
      </c>
      <c r="C1532">
        <v>10607.35</v>
      </c>
      <c r="I1532" s="77"/>
    </row>
    <row r="1533" spans="2:9" x14ac:dyDescent="0.3">
      <c r="B1533" s="77">
        <v>44014</v>
      </c>
      <c r="C1533">
        <v>10551.7</v>
      </c>
      <c r="I1533" s="77"/>
    </row>
    <row r="1534" spans="2:9" x14ac:dyDescent="0.3">
      <c r="B1534" s="77">
        <v>44013</v>
      </c>
      <c r="C1534">
        <v>10430.049999999999</v>
      </c>
      <c r="I1534" s="77"/>
    </row>
    <row r="1535" spans="2:9" x14ac:dyDescent="0.3">
      <c r="B1535" s="77">
        <v>44012</v>
      </c>
      <c r="C1535">
        <v>10302.1</v>
      </c>
      <c r="I1535" s="77"/>
    </row>
    <row r="1536" spans="2:9" x14ac:dyDescent="0.3">
      <c r="B1536" s="77">
        <v>44011</v>
      </c>
      <c r="C1536">
        <v>10312.4</v>
      </c>
      <c r="I1536" s="77"/>
    </row>
    <row r="1537" spans="2:9" x14ac:dyDescent="0.3">
      <c r="B1537" s="77">
        <v>44008</v>
      </c>
      <c r="C1537">
        <v>10383</v>
      </c>
      <c r="I1537" s="77"/>
    </row>
    <row r="1538" spans="2:9" x14ac:dyDescent="0.3">
      <c r="B1538" s="77">
        <v>44007</v>
      </c>
      <c r="C1538">
        <v>10288.9</v>
      </c>
      <c r="I1538" s="77"/>
    </row>
    <row r="1539" spans="2:9" x14ac:dyDescent="0.3">
      <c r="B1539" s="77">
        <v>44006</v>
      </c>
      <c r="C1539">
        <v>10305.299999999999</v>
      </c>
      <c r="I1539" s="77"/>
    </row>
    <row r="1540" spans="2:9" x14ac:dyDescent="0.3">
      <c r="B1540" s="77">
        <v>44005</v>
      </c>
      <c r="C1540">
        <v>10471</v>
      </c>
      <c r="I1540" s="77"/>
    </row>
    <row r="1541" spans="2:9" x14ac:dyDescent="0.3">
      <c r="B1541" s="77">
        <v>44004</v>
      </c>
      <c r="C1541">
        <v>10311.200000000001</v>
      </c>
      <c r="I1541" s="77"/>
    </row>
    <row r="1542" spans="2:9" x14ac:dyDescent="0.3">
      <c r="B1542" s="77">
        <v>44001</v>
      </c>
      <c r="C1542">
        <v>10244.4</v>
      </c>
      <c r="I1542" s="77"/>
    </row>
    <row r="1543" spans="2:9" x14ac:dyDescent="0.3">
      <c r="B1543" s="77">
        <v>44000</v>
      </c>
      <c r="C1543">
        <v>10091.65</v>
      </c>
      <c r="I1543" s="77"/>
    </row>
    <row r="1544" spans="2:9" x14ac:dyDescent="0.3">
      <c r="B1544" s="77">
        <v>43999</v>
      </c>
      <c r="C1544">
        <v>9881.15</v>
      </c>
      <c r="I1544" s="77"/>
    </row>
    <row r="1545" spans="2:9" x14ac:dyDescent="0.3">
      <c r="B1545" s="77">
        <v>43998</v>
      </c>
      <c r="C1545">
        <v>9914</v>
      </c>
      <c r="I1545" s="77"/>
    </row>
    <row r="1546" spans="2:9" x14ac:dyDescent="0.3">
      <c r="B1546" s="77">
        <v>43997</v>
      </c>
      <c r="C1546">
        <v>9813.7000000000007</v>
      </c>
      <c r="I1546" s="77"/>
    </row>
    <row r="1547" spans="2:9" x14ac:dyDescent="0.3">
      <c r="B1547" s="77">
        <v>43994</v>
      </c>
      <c r="C1547">
        <v>9972.9</v>
      </c>
      <c r="I1547" s="77"/>
    </row>
    <row r="1548" spans="2:9" x14ac:dyDescent="0.3">
      <c r="B1548" s="77">
        <v>43993</v>
      </c>
      <c r="C1548">
        <v>9902</v>
      </c>
      <c r="I1548" s="77"/>
    </row>
    <row r="1549" spans="2:9" x14ac:dyDescent="0.3">
      <c r="B1549" s="77">
        <v>43992</v>
      </c>
      <c r="C1549">
        <v>10116.15</v>
      </c>
      <c r="I1549" s="77"/>
    </row>
    <row r="1550" spans="2:9" x14ac:dyDescent="0.3">
      <c r="B1550" s="77">
        <v>43991</v>
      </c>
      <c r="C1550">
        <v>10046.65</v>
      </c>
      <c r="I1550" s="77"/>
    </row>
    <row r="1551" spans="2:9" x14ac:dyDescent="0.3">
      <c r="B1551" s="77">
        <v>43990</v>
      </c>
      <c r="C1551">
        <v>10167.450000000001</v>
      </c>
      <c r="I1551" s="77"/>
    </row>
    <row r="1552" spans="2:9" x14ac:dyDescent="0.3">
      <c r="B1552" s="77">
        <v>43987</v>
      </c>
      <c r="C1552">
        <v>10142.15</v>
      </c>
      <c r="I1552" s="77"/>
    </row>
    <row r="1553" spans="2:9" x14ac:dyDescent="0.3">
      <c r="B1553" s="77">
        <v>43986</v>
      </c>
      <c r="C1553">
        <v>10029.1</v>
      </c>
      <c r="I1553" s="77"/>
    </row>
    <row r="1554" spans="2:9" x14ac:dyDescent="0.3">
      <c r="B1554" s="77">
        <v>43985</v>
      </c>
      <c r="C1554">
        <v>10061.549999999999</v>
      </c>
      <c r="I1554" s="77"/>
    </row>
    <row r="1555" spans="2:9" x14ac:dyDescent="0.3">
      <c r="B1555" s="77">
        <v>43984</v>
      </c>
      <c r="C1555">
        <v>9979.1</v>
      </c>
      <c r="I1555" s="77"/>
    </row>
    <row r="1556" spans="2:9" x14ac:dyDescent="0.3">
      <c r="B1556" s="77">
        <v>43983</v>
      </c>
      <c r="C1556">
        <v>9826.15</v>
      </c>
      <c r="I1556" s="77"/>
    </row>
    <row r="1557" spans="2:9" x14ac:dyDescent="0.3">
      <c r="B1557" s="77">
        <v>43980</v>
      </c>
      <c r="C1557">
        <v>9580.2999999999993</v>
      </c>
      <c r="I1557" s="77"/>
    </row>
    <row r="1558" spans="2:9" x14ac:dyDescent="0.3">
      <c r="B1558" s="77">
        <v>43979</v>
      </c>
      <c r="C1558">
        <v>9490.1</v>
      </c>
      <c r="I1558" s="77"/>
    </row>
    <row r="1559" spans="2:9" x14ac:dyDescent="0.3">
      <c r="B1559" s="77">
        <v>43978</v>
      </c>
      <c r="C1559">
        <v>9314.9500000000007</v>
      </c>
      <c r="I1559" s="77"/>
    </row>
    <row r="1560" spans="2:9" x14ac:dyDescent="0.3">
      <c r="B1560" s="77">
        <v>43977</v>
      </c>
      <c r="C1560">
        <v>9029.0499999999993</v>
      </c>
      <c r="I1560" s="77"/>
    </row>
    <row r="1561" spans="2:9" x14ac:dyDescent="0.3">
      <c r="B1561" s="77">
        <v>43973</v>
      </c>
      <c r="C1561">
        <v>9039.25</v>
      </c>
      <c r="I1561" s="77"/>
    </row>
    <row r="1562" spans="2:9" x14ac:dyDescent="0.3">
      <c r="B1562" s="77">
        <v>43972</v>
      </c>
      <c r="C1562">
        <v>9106.25</v>
      </c>
      <c r="I1562" s="77"/>
    </row>
    <row r="1563" spans="2:9" x14ac:dyDescent="0.3">
      <c r="B1563" s="77">
        <v>43971</v>
      </c>
      <c r="C1563">
        <v>9066.5499999999993</v>
      </c>
      <c r="I1563" s="77"/>
    </row>
    <row r="1564" spans="2:9" x14ac:dyDescent="0.3">
      <c r="B1564" s="77">
        <v>43970</v>
      </c>
      <c r="C1564">
        <v>8879.1</v>
      </c>
      <c r="I1564" s="77"/>
    </row>
    <row r="1565" spans="2:9" x14ac:dyDescent="0.3">
      <c r="B1565" s="77">
        <v>43969</v>
      </c>
      <c r="C1565">
        <v>8823.25</v>
      </c>
      <c r="I1565" s="77"/>
    </row>
    <row r="1566" spans="2:9" x14ac:dyDescent="0.3">
      <c r="B1566" s="77">
        <v>43966</v>
      </c>
      <c r="C1566">
        <v>9136.85</v>
      </c>
      <c r="I1566" s="77"/>
    </row>
    <row r="1567" spans="2:9" x14ac:dyDescent="0.3">
      <c r="B1567" s="77">
        <v>43965</v>
      </c>
      <c r="C1567">
        <v>9142.75</v>
      </c>
      <c r="I1567" s="77"/>
    </row>
    <row r="1568" spans="2:9" x14ac:dyDescent="0.3">
      <c r="B1568" s="77">
        <v>43964</v>
      </c>
      <c r="C1568">
        <v>9383.5499999999993</v>
      </c>
      <c r="I1568" s="77"/>
    </row>
    <row r="1569" spans="2:9" x14ac:dyDescent="0.3">
      <c r="B1569" s="77">
        <v>43963</v>
      </c>
      <c r="C1569">
        <v>9196.5499999999993</v>
      </c>
      <c r="I1569" s="77"/>
    </row>
    <row r="1570" spans="2:9" x14ac:dyDescent="0.3">
      <c r="B1570" s="77">
        <v>43962</v>
      </c>
      <c r="C1570">
        <v>9239.2000000000007</v>
      </c>
      <c r="I1570" s="77"/>
    </row>
    <row r="1571" spans="2:9" x14ac:dyDescent="0.3">
      <c r="B1571" s="77">
        <v>43959</v>
      </c>
      <c r="C1571">
        <v>9251.5</v>
      </c>
      <c r="I1571" s="77"/>
    </row>
    <row r="1572" spans="2:9" x14ac:dyDescent="0.3">
      <c r="B1572" s="77">
        <v>43958</v>
      </c>
      <c r="C1572">
        <v>9199.0499999999993</v>
      </c>
      <c r="I1572" s="77"/>
    </row>
    <row r="1573" spans="2:9" x14ac:dyDescent="0.3">
      <c r="B1573" s="77">
        <v>43957</v>
      </c>
      <c r="C1573">
        <v>9270.9</v>
      </c>
      <c r="I1573" s="77"/>
    </row>
    <row r="1574" spans="2:9" x14ac:dyDescent="0.3">
      <c r="B1574" s="77">
        <v>43956</v>
      </c>
      <c r="C1574">
        <v>9205.6</v>
      </c>
      <c r="I1574" s="77"/>
    </row>
    <row r="1575" spans="2:9" x14ac:dyDescent="0.3">
      <c r="B1575" s="77">
        <v>43955</v>
      </c>
      <c r="C1575">
        <v>9293.5</v>
      </c>
      <c r="I1575" s="77"/>
    </row>
    <row r="1576" spans="2:9" x14ac:dyDescent="0.3">
      <c r="B1576" s="77">
        <v>43951</v>
      </c>
      <c r="C1576">
        <v>9859.9</v>
      </c>
      <c r="I1576" s="77"/>
    </row>
    <row r="1577" spans="2:9" x14ac:dyDescent="0.3">
      <c r="B1577" s="77">
        <v>43950</v>
      </c>
      <c r="C1577">
        <v>9553.35</v>
      </c>
      <c r="I1577" s="77"/>
    </row>
    <row r="1578" spans="2:9" x14ac:dyDescent="0.3">
      <c r="B1578" s="77">
        <v>43949</v>
      </c>
      <c r="C1578">
        <v>9380.9</v>
      </c>
      <c r="I1578" s="77"/>
    </row>
    <row r="1579" spans="2:9" x14ac:dyDescent="0.3">
      <c r="B1579" s="77">
        <v>43948</v>
      </c>
      <c r="C1579">
        <v>9282.2999999999993</v>
      </c>
      <c r="I1579" s="77"/>
    </row>
    <row r="1580" spans="2:9" x14ac:dyDescent="0.3">
      <c r="B1580" s="77">
        <v>43945</v>
      </c>
      <c r="C1580">
        <v>9154.4</v>
      </c>
      <c r="I1580" s="77"/>
    </row>
    <row r="1581" spans="2:9" x14ac:dyDescent="0.3">
      <c r="B1581" s="77">
        <v>43944</v>
      </c>
      <c r="C1581">
        <v>9313.9</v>
      </c>
      <c r="I1581" s="77"/>
    </row>
    <row r="1582" spans="2:9" x14ac:dyDescent="0.3">
      <c r="B1582" s="77">
        <v>43943</v>
      </c>
      <c r="C1582">
        <v>9187.2999999999993</v>
      </c>
      <c r="I1582" s="77"/>
    </row>
    <row r="1583" spans="2:9" x14ac:dyDescent="0.3">
      <c r="B1583" s="77">
        <v>43942</v>
      </c>
      <c r="C1583">
        <v>8981.4500000000007</v>
      </c>
      <c r="I1583" s="77"/>
    </row>
    <row r="1584" spans="2:9" x14ac:dyDescent="0.3">
      <c r="B1584" s="77">
        <v>43941</v>
      </c>
      <c r="C1584">
        <v>9261.85</v>
      </c>
      <c r="I1584" s="77"/>
    </row>
    <row r="1585" spans="2:9" x14ac:dyDescent="0.3">
      <c r="B1585" s="77">
        <v>43938</v>
      </c>
      <c r="C1585">
        <v>9266.75</v>
      </c>
      <c r="I1585" s="77"/>
    </row>
    <row r="1586" spans="2:9" x14ac:dyDescent="0.3">
      <c r="B1586" s="77">
        <v>43937</v>
      </c>
      <c r="C1586">
        <v>8992.7999999999993</v>
      </c>
      <c r="I1586" s="77"/>
    </row>
    <row r="1587" spans="2:9" x14ac:dyDescent="0.3">
      <c r="B1587" s="77">
        <v>43936</v>
      </c>
      <c r="C1587">
        <v>8925.2999999999993</v>
      </c>
      <c r="I1587" s="77"/>
    </row>
    <row r="1588" spans="2:9" x14ac:dyDescent="0.3">
      <c r="B1588" s="77">
        <v>43934</v>
      </c>
      <c r="C1588">
        <v>8993.85</v>
      </c>
      <c r="I1588" s="77"/>
    </row>
    <row r="1589" spans="2:9" x14ac:dyDescent="0.3">
      <c r="B1589" s="77">
        <v>43930</v>
      </c>
      <c r="C1589">
        <v>9111.9</v>
      </c>
      <c r="I1589" s="77"/>
    </row>
    <row r="1590" spans="2:9" x14ac:dyDescent="0.3">
      <c r="B1590" s="77">
        <v>43929</v>
      </c>
      <c r="C1590">
        <v>8748.75</v>
      </c>
      <c r="I1590" s="77"/>
    </row>
    <row r="1591" spans="2:9" x14ac:dyDescent="0.3">
      <c r="B1591" s="77">
        <v>43928</v>
      </c>
      <c r="C1591">
        <v>8792.2000000000007</v>
      </c>
      <c r="I1591" s="77"/>
    </row>
    <row r="1592" spans="2:9" x14ac:dyDescent="0.3">
      <c r="B1592" s="77">
        <v>43924</v>
      </c>
      <c r="C1592">
        <v>8083.8</v>
      </c>
      <c r="I1592" s="77"/>
    </row>
    <row r="1593" spans="2:9" x14ac:dyDescent="0.3">
      <c r="B1593" s="77">
        <v>43922</v>
      </c>
      <c r="C1593">
        <v>8253.7999999999993</v>
      </c>
      <c r="I1593" s="77"/>
    </row>
    <row r="1594" spans="2:9" x14ac:dyDescent="0.3">
      <c r="B1594" s="77">
        <v>43921</v>
      </c>
      <c r="C1594">
        <v>8597.75</v>
      </c>
      <c r="I1594" s="77"/>
    </row>
    <row r="1595" spans="2:9" x14ac:dyDescent="0.3">
      <c r="B1595" s="77">
        <v>43920</v>
      </c>
      <c r="C1595">
        <v>8281.1</v>
      </c>
      <c r="I1595" s="77"/>
    </row>
    <row r="1596" spans="2:9" x14ac:dyDescent="0.3">
      <c r="B1596" s="77">
        <v>43917</v>
      </c>
      <c r="C1596">
        <v>8660.25</v>
      </c>
      <c r="I1596" s="77"/>
    </row>
    <row r="1597" spans="2:9" x14ac:dyDescent="0.3">
      <c r="B1597" s="77">
        <v>43916</v>
      </c>
      <c r="C1597">
        <v>8641.4500000000007</v>
      </c>
      <c r="I1597" s="77"/>
    </row>
    <row r="1598" spans="2:9" x14ac:dyDescent="0.3">
      <c r="B1598" s="77">
        <v>43915</v>
      </c>
      <c r="C1598">
        <v>8317.85</v>
      </c>
      <c r="I1598" s="77"/>
    </row>
    <row r="1599" spans="2:9" x14ac:dyDescent="0.3">
      <c r="B1599" s="77">
        <v>43914</v>
      </c>
      <c r="C1599">
        <v>7801.05</v>
      </c>
      <c r="I1599" s="77"/>
    </row>
    <row r="1600" spans="2:9" x14ac:dyDescent="0.3">
      <c r="B1600" s="77">
        <v>43913</v>
      </c>
      <c r="C1600">
        <v>7610.25</v>
      </c>
      <c r="I1600" s="77"/>
    </row>
    <row r="1601" spans="2:9" x14ac:dyDescent="0.3">
      <c r="B1601" s="77">
        <v>43910</v>
      </c>
      <c r="C1601">
        <v>8745.4500000000007</v>
      </c>
      <c r="I1601" s="77"/>
    </row>
    <row r="1602" spans="2:9" x14ac:dyDescent="0.3">
      <c r="B1602" s="77">
        <v>43909</v>
      </c>
      <c r="C1602">
        <v>8263.4500000000007</v>
      </c>
      <c r="I1602" s="77"/>
    </row>
    <row r="1603" spans="2:9" x14ac:dyDescent="0.3">
      <c r="B1603" s="77">
        <v>43908</v>
      </c>
      <c r="C1603">
        <v>8468.7999999999993</v>
      </c>
      <c r="I1603" s="77"/>
    </row>
    <row r="1604" spans="2:9" x14ac:dyDescent="0.3">
      <c r="B1604" s="77">
        <v>43907</v>
      </c>
      <c r="C1604">
        <v>8967.0499999999993</v>
      </c>
      <c r="I1604" s="77"/>
    </row>
    <row r="1605" spans="2:9" x14ac:dyDescent="0.3">
      <c r="B1605" s="77">
        <v>43906</v>
      </c>
      <c r="C1605">
        <v>9197.4</v>
      </c>
      <c r="I1605" s="77"/>
    </row>
    <row r="1606" spans="2:9" x14ac:dyDescent="0.3">
      <c r="B1606" s="77">
        <v>43903</v>
      </c>
      <c r="C1606">
        <v>9955.2000000000007</v>
      </c>
      <c r="I1606" s="77"/>
    </row>
    <row r="1607" spans="2:9" x14ac:dyDescent="0.3">
      <c r="B1607" s="77">
        <v>43902</v>
      </c>
      <c r="C1607">
        <v>9590.15</v>
      </c>
      <c r="I1607" s="77"/>
    </row>
    <row r="1608" spans="2:9" x14ac:dyDescent="0.3">
      <c r="B1608" s="77">
        <v>43901</v>
      </c>
      <c r="C1608">
        <v>10458.4</v>
      </c>
      <c r="I1608" s="77"/>
    </row>
    <row r="1609" spans="2:9" x14ac:dyDescent="0.3">
      <c r="B1609" s="77">
        <v>43899</v>
      </c>
      <c r="C1609">
        <v>10451.450000000001</v>
      </c>
      <c r="I1609" s="77"/>
    </row>
    <row r="1610" spans="2:9" x14ac:dyDescent="0.3">
      <c r="B1610" s="77">
        <v>43896</v>
      </c>
      <c r="C1610">
        <v>10989.45</v>
      </c>
      <c r="I1610" s="77"/>
    </row>
    <row r="1611" spans="2:9" x14ac:dyDescent="0.3">
      <c r="B1611" s="77">
        <v>43895</v>
      </c>
      <c r="C1611">
        <v>11269</v>
      </c>
      <c r="I1611" s="77"/>
    </row>
    <row r="1612" spans="2:9" x14ac:dyDescent="0.3">
      <c r="B1612" s="77">
        <v>43894</v>
      </c>
      <c r="C1612">
        <v>11251</v>
      </c>
      <c r="I1612" s="77"/>
    </row>
    <row r="1613" spans="2:9" x14ac:dyDescent="0.3">
      <c r="B1613" s="77">
        <v>43893</v>
      </c>
      <c r="C1613">
        <v>11303.3</v>
      </c>
      <c r="I1613" s="77"/>
    </row>
    <row r="1614" spans="2:9" x14ac:dyDescent="0.3">
      <c r="B1614" s="77">
        <v>43892</v>
      </c>
      <c r="C1614">
        <v>11132.75</v>
      </c>
      <c r="I1614" s="77"/>
    </row>
    <row r="1615" spans="2:9" x14ac:dyDescent="0.3">
      <c r="B1615" s="77">
        <v>43889</v>
      </c>
      <c r="C1615">
        <v>11201.75</v>
      </c>
      <c r="I1615" s="77"/>
    </row>
    <row r="1616" spans="2:9" x14ac:dyDescent="0.3">
      <c r="B1616" s="77">
        <v>43888</v>
      </c>
      <c r="C1616">
        <v>11633.3</v>
      </c>
      <c r="I1616" s="77"/>
    </row>
    <row r="1617" spans="2:9" x14ac:dyDescent="0.3">
      <c r="B1617" s="77">
        <v>43887</v>
      </c>
      <c r="C1617">
        <v>11678.5</v>
      </c>
      <c r="I1617" s="77"/>
    </row>
    <row r="1618" spans="2:9" x14ac:dyDescent="0.3">
      <c r="B1618" s="77">
        <v>43886</v>
      </c>
      <c r="C1618">
        <v>11797.9</v>
      </c>
      <c r="I1618" s="77"/>
    </row>
    <row r="1619" spans="2:9" x14ac:dyDescent="0.3">
      <c r="B1619" s="77">
        <v>43885</v>
      </c>
      <c r="C1619">
        <v>11829.4</v>
      </c>
      <c r="I1619" s="77"/>
    </row>
    <row r="1620" spans="2:9" x14ac:dyDescent="0.3">
      <c r="B1620" s="77">
        <v>43881</v>
      </c>
      <c r="C1620">
        <v>12080.85</v>
      </c>
      <c r="I1620" s="77"/>
    </row>
    <row r="1621" spans="2:9" x14ac:dyDescent="0.3">
      <c r="B1621" s="77">
        <v>43880</v>
      </c>
      <c r="C1621">
        <v>12125.9</v>
      </c>
      <c r="I1621" s="77"/>
    </row>
    <row r="1622" spans="2:9" x14ac:dyDescent="0.3">
      <c r="B1622" s="77">
        <v>43879</v>
      </c>
      <c r="C1622">
        <v>11992.5</v>
      </c>
      <c r="I1622" s="77"/>
    </row>
    <row r="1623" spans="2:9" x14ac:dyDescent="0.3">
      <c r="B1623" s="77">
        <v>43878</v>
      </c>
      <c r="C1623">
        <v>12045.8</v>
      </c>
      <c r="I1623" s="77"/>
    </row>
    <row r="1624" spans="2:9" x14ac:dyDescent="0.3">
      <c r="B1624" s="77">
        <v>43875</v>
      </c>
      <c r="C1624">
        <v>12113.45</v>
      </c>
      <c r="I1624" s="77"/>
    </row>
    <row r="1625" spans="2:9" x14ac:dyDescent="0.3">
      <c r="B1625" s="77">
        <v>43874</v>
      </c>
      <c r="C1625">
        <v>12174.65</v>
      </c>
      <c r="I1625" s="77"/>
    </row>
    <row r="1626" spans="2:9" x14ac:dyDescent="0.3">
      <c r="B1626" s="77">
        <v>43873</v>
      </c>
      <c r="C1626">
        <v>12201.2</v>
      </c>
      <c r="I1626" s="77"/>
    </row>
    <row r="1627" spans="2:9" x14ac:dyDescent="0.3">
      <c r="B1627" s="77">
        <v>43872</v>
      </c>
      <c r="C1627">
        <v>12107.9</v>
      </c>
      <c r="I1627" s="77"/>
    </row>
    <row r="1628" spans="2:9" x14ac:dyDescent="0.3">
      <c r="B1628" s="77">
        <v>43871</v>
      </c>
      <c r="C1628">
        <v>12031.5</v>
      </c>
      <c r="I1628" s="77"/>
    </row>
    <row r="1629" spans="2:9" x14ac:dyDescent="0.3">
      <c r="B1629" s="77">
        <v>43868</v>
      </c>
      <c r="C1629">
        <v>12098.35</v>
      </c>
      <c r="I1629" s="77"/>
    </row>
    <row r="1630" spans="2:9" x14ac:dyDescent="0.3">
      <c r="B1630" s="77">
        <v>43867</v>
      </c>
      <c r="C1630">
        <v>12137.95</v>
      </c>
      <c r="I1630" s="77"/>
    </row>
    <row r="1631" spans="2:9" x14ac:dyDescent="0.3">
      <c r="B1631" s="77">
        <v>43866</v>
      </c>
      <c r="C1631">
        <v>12089.15</v>
      </c>
      <c r="I1631" s="77"/>
    </row>
    <row r="1632" spans="2:9" x14ac:dyDescent="0.3">
      <c r="B1632" s="77">
        <v>43865</v>
      </c>
      <c r="C1632">
        <v>11979.65</v>
      </c>
      <c r="I1632" s="77"/>
    </row>
    <row r="1633" spans="2:9" x14ac:dyDescent="0.3">
      <c r="B1633" s="77">
        <v>43864</v>
      </c>
      <c r="C1633">
        <v>11707.9</v>
      </c>
      <c r="I1633" s="77"/>
    </row>
    <row r="1634" spans="2:9" x14ac:dyDescent="0.3">
      <c r="B1634" s="77">
        <v>43862</v>
      </c>
      <c r="C1634">
        <v>11661.85</v>
      </c>
      <c r="I1634" s="77"/>
    </row>
    <row r="1635" spans="2:9" x14ac:dyDescent="0.3">
      <c r="B1635" s="77">
        <v>43861</v>
      </c>
      <c r="C1635">
        <v>11962.1</v>
      </c>
      <c r="I1635" s="77"/>
    </row>
    <row r="1636" spans="2:9" x14ac:dyDescent="0.3">
      <c r="B1636" s="77">
        <v>43860</v>
      </c>
      <c r="C1636">
        <v>12035.8</v>
      </c>
      <c r="I1636" s="77"/>
    </row>
    <row r="1637" spans="2:9" x14ac:dyDescent="0.3">
      <c r="B1637" s="77">
        <v>43859</v>
      </c>
      <c r="C1637">
        <v>12129.5</v>
      </c>
      <c r="I1637" s="77"/>
    </row>
    <row r="1638" spans="2:9" x14ac:dyDescent="0.3">
      <c r="B1638" s="77">
        <v>43858</v>
      </c>
      <c r="C1638">
        <v>12055.8</v>
      </c>
      <c r="I1638" s="77"/>
    </row>
    <row r="1639" spans="2:9" x14ac:dyDescent="0.3">
      <c r="B1639" s="77">
        <v>43857</v>
      </c>
      <c r="C1639">
        <v>12119</v>
      </c>
      <c r="I1639" s="77"/>
    </row>
    <row r="1640" spans="2:9" x14ac:dyDescent="0.3">
      <c r="B1640" s="77">
        <v>43854</v>
      </c>
      <c r="C1640">
        <v>12248.25</v>
      </c>
      <c r="I1640" s="77"/>
    </row>
    <row r="1641" spans="2:9" x14ac:dyDescent="0.3">
      <c r="B1641" s="77">
        <v>43853</v>
      </c>
      <c r="C1641">
        <v>12180.35</v>
      </c>
      <c r="I1641" s="77"/>
    </row>
    <row r="1642" spans="2:9" x14ac:dyDescent="0.3">
      <c r="B1642" s="77">
        <v>43852</v>
      </c>
      <c r="C1642">
        <v>12106.9</v>
      </c>
      <c r="I1642" s="77"/>
    </row>
    <row r="1643" spans="2:9" x14ac:dyDescent="0.3">
      <c r="B1643" s="77">
        <v>43851</v>
      </c>
      <c r="C1643">
        <v>12169.85</v>
      </c>
      <c r="I1643" s="77"/>
    </row>
    <row r="1644" spans="2:9" x14ac:dyDescent="0.3">
      <c r="B1644" s="77">
        <v>43850</v>
      </c>
      <c r="C1644">
        <v>12224.55</v>
      </c>
      <c r="I1644" s="77"/>
    </row>
    <row r="1645" spans="2:9" x14ac:dyDescent="0.3">
      <c r="B1645" s="77">
        <v>43847</v>
      </c>
      <c r="C1645">
        <v>12352.35</v>
      </c>
      <c r="I1645" s="77"/>
    </row>
    <row r="1646" spans="2:9" x14ac:dyDescent="0.3">
      <c r="B1646" s="77">
        <v>43846</v>
      </c>
      <c r="C1646">
        <v>12355.5</v>
      </c>
      <c r="I1646" s="77"/>
    </row>
    <row r="1647" spans="2:9" x14ac:dyDescent="0.3">
      <c r="B1647" s="77">
        <v>43845</v>
      </c>
      <c r="C1647">
        <v>12343.3</v>
      </c>
      <c r="I1647" s="77"/>
    </row>
    <row r="1648" spans="2:9" x14ac:dyDescent="0.3">
      <c r="B1648" s="77">
        <v>43844</v>
      </c>
      <c r="C1648">
        <v>12362.3</v>
      </c>
      <c r="I1648" s="77"/>
    </row>
    <row r="1649" spans="2:9" x14ac:dyDescent="0.3">
      <c r="B1649" s="77">
        <v>43843</v>
      </c>
      <c r="C1649">
        <v>12329.55</v>
      </c>
      <c r="I1649" s="77"/>
    </row>
    <row r="1650" spans="2:9" x14ac:dyDescent="0.3">
      <c r="B1650" s="77">
        <v>43840</v>
      </c>
      <c r="C1650">
        <v>12256.8</v>
      </c>
      <c r="I1650" s="77"/>
    </row>
    <row r="1651" spans="2:9" x14ac:dyDescent="0.3">
      <c r="B1651" s="77">
        <v>43839</v>
      </c>
      <c r="C1651">
        <v>12215.9</v>
      </c>
      <c r="I1651" s="77"/>
    </row>
    <row r="1652" spans="2:9" x14ac:dyDescent="0.3">
      <c r="B1652" s="77">
        <v>43838</v>
      </c>
      <c r="C1652">
        <v>12025.35</v>
      </c>
      <c r="I1652" s="77"/>
    </row>
    <row r="1653" spans="2:9" x14ac:dyDescent="0.3">
      <c r="B1653" s="77">
        <v>43837</v>
      </c>
      <c r="C1653">
        <v>12052.95</v>
      </c>
      <c r="I1653" s="77"/>
    </row>
    <row r="1654" spans="2:9" x14ac:dyDescent="0.3">
      <c r="B1654" s="77">
        <v>43836</v>
      </c>
      <c r="C1654">
        <v>11993.05</v>
      </c>
      <c r="I1654" s="77"/>
    </row>
    <row r="1655" spans="2:9" x14ac:dyDescent="0.3">
      <c r="B1655" s="77">
        <v>43833</v>
      </c>
      <c r="C1655">
        <v>12226.65</v>
      </c>
      <c r="I1655" s="77"/>
    </row>
    <row r="1656" spans="2:9" x14ac:dyDescent="0.3">
      <c r="B1656" s="77">
        <v>43832</v>
      </c>
      <c r="C1656">
        <v>12282.2</v>
      </c>
      <c r="I1656" s="77"/>
    </row>
    <row r="1657" spans="2:9" x14ac:dyDescent="0.3">
      <c r="B1657" s="77">
        <v>43831</v>
      </c>
      <c r="C1657">
        <v>12182.5</v>
      </c>
      <c r="I1657" s="77"/>
    </row>
    <row r="1658" spans="2:9" x14ac:dyDescent="0.3">
      <c r="B1658" s="77">
        <v>43830</v>
      </c>
      <c r="C1658">
        <v>12168.45</v>
      </c>
      <c r="I1658" s="77"/>
    </row>
    <row r="1659" spans="2:9" x14ac:dyDescent="0.3">
      <c r="B1659" s="77">
        <v>43829</v>
      </c>
      <c r="C1659">
        <v>12255.85</v>
      </c>
      <c r="I1659" s="77"/>
    </row>
    <row r="1660" spans="2:9" x14ac:dyDescent="0.3">
      <c r="B1660" s="77">
        <v>43826</v>
      </c>
      <c r="C1660">
        <v>12245.8</v>
      </c>
      <c r="I1660" s="77"/>
    </row>
    <row r="1661" spans="2:9" x14ac:dyDescent="0.3">
      <c r="B1661" s="77">
        <v>43825</v>
      </c>
      <c r="C1661">
        <v>12126.55</v>
      </c>
      <c r="I1661" s="77"/>
    </row>
    <row r="1662" spans="2:9" x14ac:dyDescent="0.3">
      <c r="B1662" s="77">
        <v>43823</v>
      </c>
      <c r="C1662">
        <v>12214.55</v>
      </c>
      <c r="I1662" s="77"/>
    </row>
    <row r="1663" spans="2:9" x14ac:dyDescent="0.3">
      <c r="B1663" s="77">
        <v>43822</v>
      </c>
      <c r="C1663">
        <v>12262.75</v>
      </c>
      <c r="I1663" s="77"/>
    </row>
    <row r="1664" spans="2:9" x14ac:dyDescent="0.3">
      <c r="B1664" s="77">
        <v>43819</v>
      </c>
      <c r="C1664">
        <v>12271.8</v>
      </c>
      <c r="I1664" s="77"/>
    </row>
    <row r="1665" spans="2:9" x14ac:dyDescent="0.3">
      <c r="B1665" s="77">
        <v>43818</v>
      </c>
      <c r="C1665">
        <v>12259.7</v>
      </c>
      <c r="I1665" s="77"/>
    </row>
    <row r="1666" spans="2:9" x14ac:dyDescent="0.3">
      <c r="B1666" s="77">
        <v>43817</v>
      </c>
      <c r="C1666">
        <v>12221.65</v>
      </c>
      <c r="I1666" s="77"/>
    </row>
    <row r="1667" spans="2:9" x14ac:dyDescent="0.3">
      <c r="B1667" s="77">
        <v>43816</v>
      </c>
      <c r="C1667">
        <v>12165</v>
      </c>
      <c r="I1667" s="77"/>
    </row>
    <row r="1668" spans="2:9" x14ac:dyDescent="0.3">
      <c r="B1668" s="77">
        <v>43815</v>
      </c>
      <c r="C1668">
        <v>12053.95</v>
      </c>
      <c r="I1668" s="77"/>
    </row>
    <row r="1669" spans="2:9" x14ac:dyDescent="0.3">
      <c r="B1669" s="77">
        <v>43812</v>
      </c>
      <c r="C1669">
        <v>12086.7</v>
      </c>
      <c r="I1669" s="77"/>
    </row>
    <row r="1670" spans="2:9" x14ac:dyDescent="0.3">
      <c r="B1670" s="77">
        <v>43811</v>
      </c>
      <c r="C1670">
        <v>11971.8</v>
      </c>
      <c r="I1670" s="77"/>
    </row>
    <row r="1671" spans="2:9" x14ac:dyDescent="0.3">
      <c r="B1671" s="77">
        <v>43810</v>
      </c>
      <c r="C1671">
        <v>11910.15</v>
      </c>
      <c r="I1671" s="77"/>
    </row>
    <row r="1672" spans="2:9" x14ac:dyDescent="0.3">
      <c r="B1672" s="77">
        <v>43809</v>
      </c>
      <c r="C1672">
        <v>11856.8</v>
      </c>
      <c r="I1672" s="77"/>
    </row>
    <row r="1673" spans="2:9" x14ac:dyDescent="0.3">
      <c r="B1673" s="77">
        <v>43808</v>
      </c>
      <c r="C1673">
        <v>11937.5</v>
      </c>
      <c r="I1673" s="77"/>
    </row>
    <row r="1674" spans="2:9" x14ac:dyDescent="0.3">
      <c r="B1674" s="77">
        <v>43805</v>
      </c>
      <c r="C1674">
        <v>11921.5</v>
      </c>
      <c r="I1674" s="77"/>
    </row>
    <row r="1675" spans="2:9" x14ac:dyDescent="0.3">
      <c r="B1675" s="77">
        <v>43804</v>
      </c>
      <c r="C1675">
        <v>12018.4</v>
      </c>
      <c r="I1675" s="77"/>
    </row>
    <row r="1676" spans="2:9" x14ac:dyDescent="0.3">
      <c r="B1676" s="77">
        <v>43803</v>
      </c>
      <c r="C1676">
        <v>12043.2</v>
      </c>
      <c r="I1676" s="77"/>
    </row>
    <row r="1677" spans="2:9" x14ac:dyDescent="0.3">
      <c r="B1677" s="77">
        <v>43802</v>
      </c>
      <c r="C1677">
        <v>11994.2</v>
      </c>
      <c r="I1677" s="77"/>
    </row>
    <row r="1678" spans="2:9" x14ac:dyDescent="0.3">
      <c r="B1678" s="77">
        <v>43801</v>
      </c>
      <c r="C1678">
        <v>12048.2</v>
      </c>
      <c r="I1678" s="77"/>
    </row>
    <row r="1679" spans="2:9" x14ac:dyDescent="0.3">
      <c r="B1679" s="77">
        <v>43798</v>
      </c>
      <c r="C1679">
        <v>12056.05</v>
      </c>
      <c r="I1679" s="77"/>
    </row>
    <row r="1680" spans="2:9" x14ac:dyDescent="0.3">
      <c r="B1680" s="77">
        <v>43797</v>
      </c>
      <c r="C1680">
        <v>12151.15</v>
      </c>
      <c r="I1680" s="77"/>
    </row>
    <row r="1681" spans="2:9" x14ac:dyDescent="0.3">
      <c r="B1681" s="77">
        <v>43796</v>
      </c>
      <c r="C1681">
        <v>12100.7</v>
      </c>
      <c r="I1681" s="77"/>
    </row>
    <row r="1682" spans="2:9" x14ac:dyDescent="0.3">
      <c r="B1682" s="77">
        <v>43795</v>
      </c>
      <c r="C1682">
        <v>12037.7</v>
      </c>
      <c r="I1682" s="77"/>
    </row>
    <row r="1683" spans="2:9" x14ac:dyDescent="0.3">
      <c r="B1683" s="77">
        <v>43794</v>
      </c>
      <c r="C1683">
        <v>12073.75</v>
      </c>
      <c r="I1683" s="77"/>
    </row>
    <row r="1684" spans="2:9" x14ac:dyDescent="0.3">
      <c r="B1684" s="77">
        <v>43791</v>
      </c>
      <c r="C1684">
        <v>11914.4</v>
      </c>
      <c r="I1684" s="77"/>
    </row>
    <row r="1685" spans="2:9" x14ac:dyDescent="0.3">
      <c r="B1685" s="77">
        <v>43790</v>
      </c>
      <c r="C1685">
        <v>11968.4</v>
      </c>
      <c r="I1685" s="77"/>
    </row>
    <row r="1686" spans="2:9" x14ac:dyDescent="0.3">
      <c r="B1686" s="77">
        <v>43789</v>
      </c>
      <c r="C1686">
        <v>11999.1</v>
      </c>
      <c r="I1686" s="77"/>
    </row>
    <row r="1687" spans="2:9" x14ac:dyDescent="0.3">
      <c r="B1687" s="77">
        <v>43788</v>
      </c>
      <c r="C1687">
        <v>11940.1</v>
      </c>
      <c r="I1687" s="77"/>
    </row>
    <row r="1688" spans="2:9" x14ac:dyDescent="0.3">
      <c r="B1688" s="77">
        <v>43787</v>
      </c>
      <c r="C1688">
        <v>11884.5</v>
      </c>
      <c r="I1688" s="77"/>
    </row>
    <row r="1689" spans="2:9" x14ac:dyDescent="0.3">
      <c r="B1689" s="77">
        <v>43784</v>
      </c>
      <c r="C1689">
        <v>11895.45</v>
      </c>
      <c r="I1689" s="77"/>
    </row>
    <row r="1690" spans="2:9" x14ac:dyDescent="0.3">
      <c r="B1690" s="77">
        <v>43783</v>
      </c>
      <c r="C1690">
        <v>11872.1</v>
      </c>
      <c r="I1690" s="77"/>
    </row>
    <row r="1691" spans="2:9" x14ac:dyDescent="0.3">
      <c r="B1691" s="77">
        <v>43782</v>
      </c>
      <c r="C1691">
        <v>11840.45</v>
      </c>
      <c r="I1691" s="77"/>
    </row>
    <row r="1692" spans="2:9" x14ac:dyDescent="0.3">
      <c r="B1692" s="77">
        <v>43780</v>
      </c>
      <c r="C1692">
        <v>11913.45</v>
      </c>
      <c r="I1692" s="77"/>
    </row>
    <row r="1693" spans="2:9" x14ac:dyDescent="0.3">
      <c r="B1693" s="77">
        <v>43777</v>
      </c>
      <c r="C1693">
        <v>11908.15</v>
      </c>
      <c r="I1693" s="77"/>
    </row>
    <row r="1694" spans="2:9" x14ac:dyDescent="0.3">
      <c r="B1694" s="77">
        <v>43776</v>
      </c>
      <c r="C1694">
        <v>12012.05</v>
      </c>
      <c r="I1694" s="77"/>
    </row>
    <row r="1695" spans="2:9" x14ac:dyDescent="0.3">
      <c r="B1695" s="77">
        <v>43775</v>
      </c>
      <c r="C1695">
        <v>11966.05</v>
      </c>
      <c r="I1695" s="77"/>
    </row>
    <row r="1696" spans="2:9" x14ac:dyDescent="0.3">
      <c r="B1696" s="77">
        <v>43774</v>
      </c>
      <c r="C1696">
        <v>11917.2</v>
      </c>
      <c r="I1696" s="77"/>
    </row>
    <row r="1697" spans="2:9" x14ac:dyDescent="0.3">
      <c r="B1697" s="77">
        <v>43773</v>
      </c>
      <c r="C1697">
        <v>11941.3</v>
      </c>
      <c r="I1697" s="77"/>
    </row>
    <row r="1698" spans="2:9" x14ac:dyDescent="0.3">
      <c r="B1698" s="77">
        <v>43770</v>
      </c>
      <c r="C1698">
        <v>11890.6</v>
      </c>
      <c r="I1698" s="77"/>
    </row>
    <row r="1699" spans="2:9" x14ac:dyDescent="0.3">
      <c r="B1699" s="77">
        <v>43769</v>
      </c>
      <c r="C1699">
        <v>11877.45</v>
      </c>
      <c r="I1699" s="77"/>
    </row>
    <row r="1700" spans="2:9" x14ac:dyDescent="0.3">
      <c r="B1700" s="77">
        <v>43768</v>
      </c>
      <c r="C1700">
        <v>11844.1</v>
      </c>
      <c r="I1700" s="77"/>
    </row>
    <row r="1701" spans="2:9" x14ac:dyDescent="0.3">
      <c r="B1701" s="77">
        <v>43767</v>
      </c>
      <c r="C1701">
        <v>11786.85</v>
      </c>
      <c r="I1701" s="77"/>
    </row>
    <row r="1702" spans="2:9" x14ac:dyDescent="0.3">
      <c r="B1702" s="77">
        <v>43765</v>
      </c>
      <c r="C1702">
        <v>11627.15</v>
      </c>
      <c r="I1702" s="77"/>
    </row>
    <row r="1703" spans="2:9" x14ac:dyDescent="0.3">
      <c r="B1703" s="77">
        <v>43763</v>
      </c>
      <c r="C1703">
        <v>11583.9</v>
      </c>
      <c r="I1703" s="77"/>
    </row>
    <row r="1704" spans="2:9" x14ac:dyDescent="0.3">
      <c r="B1704" s="77">
        <v>43762</v>
      </c>
      <c r="C1704">
        <v>11582.6</v>
      </c>
      <c r="I1704" s="77"/>
    </row>
    <row r="1705" spans="2:9" x14ac:dyDescent="0.3">
      <c r="B1705" s="77">
        <v>43761</v>
      </c>
      <c r="C1705">
        <v>11604.1</v>
      </c>
      <c r="I1705" s="77"/>
    </row>
    <row r="1706" spans="2:9" x14ac:dyDescent="0.3">
      <c r="B1706" s="77">
        <v>43760</v>
      </c>
      <c r="C1706">
        <v>11588.35</v>
      </c>
      <c r="I1706" s="77"/>
    </row>
    <row r="1707" spans="2:9" x14ac:dyDescent="0.3">
      <c r="B1707" s="77">
        <v>43756</v>
      </c>
      <c r="C1707">
        <v>11661.85</v>
      </c>
      <c r="I1707" s="77"/>
    </row>
    <row r="1708" spans="2:9" x14ac:dyDescent="0.3">
      <c r="B1708" s="77">
        <v>43755</v>
      </c>
      <c r="C1708">
        <v>11586.35</v>
      </c>
      <c r="I1708" s="77"/>
    </row>
    <row r="1709" spans="2:9" x14ac:dyDescent="0.3">
      <c r="B1709" s="77">
        <v>43754</v>
      </c>
      <c r="C1709">
        <v>11464</v>
      </c>
      <c r="I1709" s="77"/>
    </row>
    <row r="1710" spans="2:9" x14ac:dyDescent="0.3">
      <c r="B1710" s="77">
        <v>43753</v>
      </c>
      <c r="C1710">
        <v>11428.3</v>
      </c>
      <c r="I1710" s="77"/>
    </row>
    <row r="1711" spans="2:9" x14ac:dyDescent="0.3">
      <c r="B1711" s="77">
        <v>43752</v>
      </c>
      <c r="C1711">
        <v>11341.15</v>
      </c>
      <c r="I1711" s="77"/>
    </row>
    <row r="1712" spans="2:9" x14ac:dyDescent="0.3">
      <c r="B1712" s="77">
        <v>43749</v>
      </c>
      <c r="C1712">
        <v>11305.05</v>
      </c>
      <c r="I1712" s="77"/>
    </row>
    <row r="1713" spans="2:9" x14ac:dyDescent="0.3">
      <c r="B1713" s="77">
        <v>43748</v>
      </c>
      <c r="C1713">
        <v>11234.55</v>
      </c>
      <c r="I1713" s="77"/>
    </row>
    <row r="1714" spans="2:9" x14ac:dyDescent="0.3">
      <c r="B1714" s="77">
        <v>43747</v>
      </c>
      <c r="C1714">
        <v>11313.3</v>
      </c>
      <c r="I1714" s="77"/>
    </row>
    <row r="1715" spans="2:9" x14ac:dyDescent="0.3">
      <c r="B1715" s="77">
        <v>43745</v>
      </c>
      <c r="C1715">
        <v>11126.4</v>
      </c>
      <c r="I1715" s="77"/>
    </row>
    <row r="1716" spans="2:9" x14ac:dyDescent="0.3">
      <c r="B1716" s="77">
        <v>43742</v>
      </c>
      <c r="C1716">
        <v>11174.75</v>
      </c>
      <c r="I1716" s="77"/>
    </row>
    <row r="1717" spans="2:9" x14ac:dyDescent="0.3">
      <c r="B1717" s="77">
        <v>43741</v>
      </c>
      <c r="C1717">
        <v>11314</v>
      </c>
      <c r="I1717" s="77"/>
    </row>
    <row r="1718" spans="2:9" x14ac:dyDescent="0.3">
      <c r="B1718" s="77">
        <v>43739</v>
      </c>
      <c r="C1718">
        <v>11359.9</v>
      </c>
      <c r="I1718" s="77"/>
    </row>
    <row r="1719" spans="2:9" x14ac:dyDescent="0.3">
      <c r="B1719" s="77">
        <v>43738</v>
      </c>
      <c r="C1719">
        <v>11474.45</v>
      </c>
      <c r="I1719" s="77"/>
    </row>
    <row r="1720" spans="2:9" x14ac:dyDescent="0.3">
      <c r="B1720" s="77">
        <v>43735</v>
      </c>
      <c r="C1720">
        <v>11512.4</v>
      </c>
      <c r="I1720" s="77"/>
    </row>
    <row r="1721" spans="2:9" x14ac:dyDescent="0.3">
      <c r="B1721" s="77">
        <v>43734</v>
      </c>
      <c r="C1721">
        <v>11571.2</v>
      </c>
      <c r="I1721" s="77"/>
    </row>
    <row r="1722" spans="2:9" x14ac:dyDescent="0.3">
      <c r="B1722" s="77">
        <v>43733</v>
      </c>
      <c r="C1722">
        <v>11440.2</v>
      </c>
      <c r="I1722" s="77"/>
    </row>
    <row r="1723" spans="2:9" x14ac:dyDescent="0.3">
      <c r="B1723" s="77">
        <v>43732</v>
      </c>
      <c r="C1723">
        <v>11588.2</v>
      </c>
      <c r="I1723" s="77"/>
    </row>
    <row r="1724" spans="2:9" x14ac:dyDescent="0.3">
      <c r="B1724" s="77">
        <v>43731</v>
      </c>
      <c r="C1724">
        <v>11600.2</v>
      </c>
      <c r="I1724" s="77"/>
    </row>
    <row r="1725" spans="2:9" x14ac:dyDescent="0.3">
      <c r="B1725" s="77">
        <v>43728</v>
      </c>
      <c r="C1725">
        <v>11274.2</v>
      </c>
      <c r="I1725" s="77"/>
    </row>
    <row r="1726" spans="2:9" x14ac:dyDescent="0.3">
      <c r="B1726" s="77">
        <v>43727</v>
      </c>
      <c r="C1726">
        <v>10704.8</v>
      </c>
      <c r="I1726" s="77"/>
    </row>
    <row r="1727" spans="2:9" x14ac:dyDescent="0.3">
      <c r="B1727" s="77">
        <v>43726</v>
      </c>
      <c r="C1727">
        <v>10840.65</v>
      </c>
      <c r="I1727" s="77"/>
    </row>
    <row r="1728" spans="2:9" x14ac:dyDescent="0.3">
      <c r="B1728" s="77">
        <v>43725</v>
      </c>
      <c r="C1728">
        <v>10817.6</v>
      </c>
      <c r="I1728" s="77"/>
    </row>
    <row r="1729" spans="2:9" x14ac:dyDescent="0.3">
      <c r="B1729" s="77">
        <v>43724</v>
      </c>
      <c r="C1729">
        <v>11003.5</v>
      </c>
      <c r="I1729" s="77"/>
    </row>
    <row r="1730" spans="2:9" x14ac:dyDescent="0.3">
      <c r="B1730" s="77">
        <v>43721</v>
      </c>
      <c r="C1730">
        <v>11075.9</v>
      </c>
      <c r="I1730" s="77"/>
    </row>
    <row r="1731" spans="2:9" x14ac:dyDescent="0.3">
      <c r="B1731" s="77">
        <v>43720</v>
      </c>
      <c r="C1731">
        <v>10982.8</v>
      </c>
      <c r="I1731" s="77"/>
    </row>
    <row r="1732" spans="2:9" x14ac:dyDescent="0.3">
      <c r="B1732" s="77">
        <v>43719</v>
      </c>
      <c r="C1732">
        <v>11035.7</v>
      </c>
      <c r="I1732" s="77"/>
    </row>
    <row r="1733" spans="2:9" x14ac:dyDescent="0.3">
      <c r="B1733" s="77">
        <v>43717</v>
      </c>
      <c r="C1733">
        <v>11003.05</v>
      </c>
      <c r="I1733" s="77"/>
    </row>
    <row r="1734" spans="2:9" x14ac:dyDescent="0.3">
      <c r="B1734" s="77">
        <v>43714</v>
      </c>
      <c r="C1734">
        <v>10946.2</v>
      </c>
      <c r="I1734" s="77"/>
    </row>
    <row r="1735" spans="2:9" x14ac:dyDescent="0.3">
      <c r="B1735" s="77">
        <v>43713</v>
      </c>
      <c r="C1735">
        <v>10847.9</v>
      </c>
      <c r="I1735" s="77"/>
    </row>
    <row r="1736" spans="2:9" x14ac:dyDescent="0.3">
      <c r="B1736" s="77">
        <v>43712</v>
      </c>
      <c r="C1736">
        <v>10844.65</v>
      </c>
      <c r="I1736" s="77"/>
    </row>
    <row r="1737" spans="2:9" x14ac:dyDescent="0.3">
      <c r="B1737" s="77">
        <v>43711</v>
      </c>
      <c r="C1737">
        <v>10797.9</v>
      </c>
      <c r="I1737" s="77"/>
    </row>
    <row r="1738" spans="2:9" x14ac:dyDescent="0.3">
      <c r="B1738" s="77">
        <v>43707</v>
      </c>
      <c r="C1738">
        <v>11023.25</v>
      </c>
      <c r="I1738" s="77"/>
    </row>
    <row r="1739" spans="2:9" x14ac:dyDescent="0.3">
      <c r="B1739" s="77">
        <v>43706</v>
      </c>
      <c r="C1739">
        <v>10948.3</v>
      </c>
      <c r="I1739" s="77"/>
    </row>
    <row r="1740" spans="2:9" x14ac:dyDescent="0.3">
      <c r="B1740" s="77">
        <v>43705</v>
      </c>
      <c r="C1740">
        <v>11046.1</v>
      </c>
      <c r="I1740" s="77"/>
    </row>
    <row r="1741" spans="2:9" x14ac:dyDescent="0.3">
      <c r="B1741" s="77">
        <v>43704</v>
      </c>
      <c r="C1741">
        <v>11105.35</v>
      </c>
      <c r="I1741" s="77"/>
    </row>
    <row r="1742" spans="2:9" x14ac:dyDescent="0.3">
      <c r="B1742" s="77">
        <v>43703</v>
      </c>
      <c r="C1742">
        <v>11057.85</v>
      </c>
      <c r="I1742" s="77"/>
    </row>
    <row r="1743" spans="2:9" x14ac:dyDescent="0.3">
      <c r="B1743" s="77">
        <v>43700</v>
      </c>
      <c r="C1743">
        <v>10829.35</v>
      </c>
      <c r="I1743" s="77"/>
    </row>
    <row r="1744" spans="2:9" x14ac:dyDescent="0.3">
      <c r="B1744" s="77">
        <v>43699</v>
      </c>
      <c r="C1744">
        <v>10741.35</v>
      </c>
      <c r="I1744" s="77"/>
    </row>
    <row r="1745" spans="2:9" x14ac:dyDescent="0.3">
      <c r="B1745" s="77">
        <v>43698</v>
      </c>
      <c r="C1745">
        <v>10918.7</v>
      </c>
      <c r="I1745" s="77"/>
    </row>
    <row r="1746" spans="2:9" x14ac:dyDescent="0.3">
      <c r="B1746" s="77">
        <v>43697</v>
      </c>
      <c r="C1746">
        <v>11017</v>
      </c>
      <c r="I1746" s="77"/>
    </row>
    <row r="1747" spans="2:9" x14ac:dyDescent="0.3">
      <c r="B1747" s="77">
        <v>43696</v>
      </c>
      <c r="C1747">
        <v>11053.9</v>
      </c>
      <c r="I1747" s="77"/>
    </row>
    <row r="1748" spans="2:9" x14ac:dyDescent="0.3">
      <c r="B1748" s="77">
        <v>43693</v>
      </c>
      <c r="C1748">
        <v>11047.8</v>
      </c>
      <c r="I1748" s="77"/>
    </row>
    <row r="1749" spans="2:9" x14ac:dyDescent="0.3">
      <c r="B1749" s="77">
        <v>43691</v>
      </c>
      <c r="C1749">
        <v>11029.4</v>
      </c>
      <c r="I1749" s="77"/>
    </row>
    <row r="1750" spans="2:9" x14ac:dyDescent="0.3">
      <c r="B1750" s="77">
        <v>43690</v>
      </c>
      <c r="C1750">
        <v>10925.85</v>
      </c>
      <c r="I1750" s="77"/>
    </row>
    <row r="1751" spans="2:9" x14ac:dyDescent="0.3">
      <c r="B1751" s="77">
        <v>43686</v>
      </c>
      <c r="C1751">
        <v>11109.65</v>
      </c>
      <c r="I1751" s="77"/>
    </row>
    <row r="1752" spans="2:9" x14ac:dyDescent="0.3">
      <c r="B1752" s="77">
        <v>43685</v>
      </c>
      <c r="C1752">
        <v>11032.45</v>
      </c>
      <c r="I1752" s="77"/>
    </row>
    <row r="1753" spans="2:9" x14ac:dyDescent="0.3">
      <c r="B1753" s="77">
        <v>43684</v>
      </c>
      <c r="C1753">
        <v>10855.5</v>
      </c>
      <c r="I1753" s="77"/>
    </row>
    <row r="1754" spans="2:9" x14ac:dyDescent="0.3">
      <c r="B1754" s="77">
        <v>43683</v>
      </c>
      <c r="C1754">
        <v>10948.25</v>
      </c>
      <c r="I1754" s="77"/>
    </row>
    <row r="1755" spans="2:9" x14ac:dyDescent="0.3">
      <c r="B1755" s="77">
        <v>43682</v>
      </c>
      <c r="C1755">
        <v>10862.6</v>
      </c>
      <c r="I1755" s="77"/>
    </row>
    <row r="1756" spans="2:9" x14ac:dyDescent="0.3">
      <c r="B1756" s="77">
        <v>43679</v>
      </c>
      <c r="C1756">
        <v>10997.35</v>
      </c>
      <c r="I1756" s="77"/>
    </row>
    <row r="1757" spans="2:9" x14ac:dyDescent="0.3">
      <c r="B1757" s="77">
        <v>43678</v>
      </c>
      <c r="C1757">
        <v>10980</v>
      </c>
      <c r="I1757" s="77"/>
    </row>
    <row r="1758" spans="2:9" x14ac:dyDescent="0.3">
      <c r="B1758" s="77">
        <v>43677</v>
      </c>
      <c r="C1758">
        <v>11118</v>
      </c>
      <c r="I1758" s="77"/>
    </row>
    <row r="1759" spans="2:9" x14ac:dyDescent="0.3">
      <c r="B1759" s="77">
        <v>43676</v>
      </c>
      <c r="C1759">
        <v>11085.4</v>
      </c>
      <c r="I1759" s="77"/>
    </row>
    <row r="1760" spans="2:9" x14ac:dyDescent="0.3">
      <c r="B1760" s="77">
        <v>43675</v>
      </c>
      <c r="C1760">
        <v>11189.2</v>
      </c>
      <c r="I1760" s="77"/>
    </row>
    <row r="1761" spans="2:9" x14ac:dyDescent="0.3">
      <c r="B1761" s="77">
        <v>43672</v>
      </c>
      <c r="C1761">
        <v>11284.3</v>
      </c>
      <c r="I1761" s="77"/>
    </row>
    <row r="1762" spans="2:9" x14ac:dyDescent="0.3">
      <c r="B1762" s="77">
        <v>43671</v>
      </c>
      <c r="C1762">
        <v>11252.15</v>
      </c>
      <c r="I1762" s="77"/>
    </row>
    <row r="1763" spans="2:9" x14ac:dyDescent="0.3">
      <c r="B1763" s="77">
        <v>43670</v>
      </c>
      <c r="C1763">
        <v>11271.3</v>
      </c>
      <c r="I1763" s="77"/>
    </row>
    <row r="1764" spans="2:9" x14ac:dyDescent="0.3">
      <c r="B1764" s="77">
        <v>43669</v>
      </c>
      <c r="C1764">
        <v>11331.05</v>
      </c>
      <c r="I1764" s="77"/>
    </row>
    <row r="1765" spans="2:9" x14ac:dyDescent="0.3">
      <c r="B1765" s="77">
        <v>43668</v>
      </c>
      <c r="C1765">
        <v>11346.2</v>
      </c>
      <c r="I1765" s="77"/>
    </row>
    <row r="1766" spans="2:9" x14ac:dyDescent="0.3">
      <c r="B1766" s="77">
        <v>43665</v>
      </c>
      <c r="C1766">
        <v>11419.25</v>
      </c>
      <c r="I1766" s="77"/>
    </row>
    <row r="1767" spans="2:9" x14ac:dyDescent="0.3">
      <c r="B1767" s="77">
        <v>43664</v>
      </c>
      <c r="C1767">
        <v>11596.9</v>
      </c>
      <c r="I1767" s="77"/>
    </row>
    <row r="1768" spans="2:9" x14ac:dyDescent="0.3">
      <c r="B1768" s="77">
        <v>43663</v>
      </c>
      <c r="C1768">
        <v>11687.5</v>
      </c>
      <c r="I1768" s="77"/>
    </row>
    <row r="1769" spans="2:9" x14ac:dyDescent="0.3">
      <c r="B1769" s="77">
        <v>43662</v>
      </c>
      <c r="C1769">
        <v>11662.6</v>
      </c>
      <c r="I1769" s="77"/>
    </row>
    <row r="1770" spans="2:9" x14ac:dyDescent="0.3">
      <c r="B1770" s="77">
        <v>43661</v>
      </c>
      <c r="C1770">
        <v>11588.35</v>
      </c>
      <c r="I1770" s="77"/>
    </row>
    <row r="1771" spans="2:9" x14ac:dyDescent="0.3">
      <c r="B1771" s="77">
        <v>43658</v>
      </c>
      <c r="C1771">
        <v>11552.5</v>
      </c>
      <c r="I1771" s="77"/>
    </row>
    <row r="1772" spans="2:9" x14ac:dyDescent="0.3">
      <c r="B1772" s="77">
        <v>43657</v>
      </c>
      <c r="C1772">
        <v>11582.9</v>
      </c>
      <c r="I1772" s="77"/>
    </row>
    <row r="1773" spans="2:9" x14ac:dyDescent="0.3">
      <c r="B1773" s="77">
        <v>43656</v>
      </c>
      <c r="C1773">
        <v>11498.9</v>
      </c>
      <c r="I1773" s="77"/>
    </row>
    <row r="1774" spans="2:9" x14ac:dyDescent="0.3">
      <c r="B1774" s="77">
        <v>43655</v>
      </c>
      <c r="C1774">
        <v>11555.9</v>
      </c>
      <c r="I1774" s="77"/>
    </row>
    <row r="1775" spans="2:9" x14ac:dyDescent="0.3">
      <c r="B1775" s="77">
        <v>43654</v>
      </c>
      <c r="C1775">
        <v>11558.6</v>
      </c>
      <c r="I1775" s="77"/>
    </row>
    <row r="1776" spans="2:9" x14ac:dyDescent="0.3">
      <c r="B1776" s="77">
        <v>43651</v>
      </c>
      <c r="C1776">
        <v>11811.15</v>
      </c>
      <c r="I1776" s="77"/>
    </row>
    <row r="1777" spans="2:9" x14ac:dyDescent="0.3">
      <c r="B1777" s="77">
        <v>43650</v>
      </c>
      <c r="C1777">
        <v>11946.75</v>
      </c>
      <c r="I1777" s="77"/>
    </row>
    <row r="1778" spans="2:9" x14ac:dyDescent="0.3">
      <c r="B1778" s="77">
        <v>43649</v>
      </c>
      <c r="C1778">
        <v>11916.75</v>
      </c>
      <c r="I1778" s="77"/>
    </row>
    <row r="1779" spans="2:9" x14ac:dyDescent="0.3">
      <c r="B1779" s="77">
        <v>43648</v>
      </c>
      <c r="C1779">
        <v>11910.3</v>
      </c>
      <c r="I1779" s="77"/>
    </row>
    <row r="1780" spans="2:9" x14ac:dyDescent="0.3">
      <c r="B1780" s="77">
        <v>43647</v>
      </c>
      <c r="C1780">
        <v>11865.6</v>
      </c>
      <c r="I1780" s="77"/>
    </row>
    <row r="1781" spans="2:9" x14ac:dyDescent="0.3">
      <c r="B1781" s="77">
        <v>43644</v>
      </c>
      <c r="C1781">
        <v>11788.85</v>
      </c>
      <c r="I1781" s="77"/>
    </row>
    <row r="1782" spans="2:9" x14ac:dyDescent="0.3">
      <c r="B1782" s="77">
        <v>43643</v>
      </c>
      <c r="C1782">
        <v>11841.55</v>
      </c>
      <c r="I1782" s="77"/>
    </row>
    <row r="1783" spans="2:9" x14ac:dyDescent="0.3">
      <c r="B1783" s="77">
        <v>43642</v>
      </c>
      <c r="C1783">
        <v>11847.55</v>
      </c>
      <c r="I1783" s="77"/>
    </row>
    <row r="1784" spans="2:9" x14ac:dyDescent="0.3">
      <c r="B1784" s="77">
        <v>43641</v>
      </c>
      <c r="C1784">
        <v>11796.45</v>
      </c>
      <c r="I1784" s="77"/>
    </row>
    <row r="1785" spans="2:9" x14ac:dyDescent="0.3">
      <c r="B1785" s="77">
        <v>43640</v>
      </c>
      <c r="C1785">
        <v>11699.65</v>
      </c>
      <c r="I1785" s="77"/>
    </row>
    <row r="1786" spans="2:9" x14ac:dyDescent="0.3">
      <c r="B1786" s="77">
        <v>43637</v>
      </c>
      <c r="C1786">
        <v>11724.1</v>
      </c>
      <c r="I1786" s="77"/>
    </row>
    <row r="1787" spans="2:9" x14ac:dyDescent="0.3">
      <c r="B1787" s="77">
        <v>43636</v>
      </c>
      <c r="C1787">
        <v>11831.75</v>
      </c>
      <c r="I1787" s="77"/>
    </row>
    <row r="1788" spans="2:9" x14ac:dyDescent="0.3">
      <c r="B1788" s="77">
        <v>43635</v>
      </c>
      <c r="C1788">
        <v>11691.45</v>
      </c>
      <c r="I1788" s="77"/>
    </row>
    <row r="1789" spans="2:9" x14ac:dyDescent="0.3">
      <c r="B1789" s="77">
        <v>43634</v>
      </c>
      <c r="C1789">
        <v>11691.5</v>
      </c>
      <c r="I1789" s="77"/>
    </row>
    <row r="1790" spans="2:9" x14ac:dyDescent="0.3">
      <c r="B1790" s="77">
        <v>43633</v>
      </c>
      <c r="C1790">
        <v>11672.15</v>
      </c>
      <c r="I1790" s="77"/>
    </row>
    <row r="1791" spans="2:9" x14ac:dyDescent="0.3">
      <c r="B1791" s="77">
        <v>43630</v>
      </c>
      <c r="C1791">
        <v>11823.3</v>
      </c>
      <c r="I1791" s="77"/>
    </row>
    <row r="1792" spans="2:9" x14ac:dyDescent="0.3">
      <c r="B1792" s="77">
        <v>43629</v>
      </c>
      <c r="C1792">
        <v>11914.05</v>
      </c>
      <c r="I1792" s="77"/>
    </row>
    <row r="1793" spans="2:9" x14ac:dyDescent="0.3">
      <c r="B1793" s="77">
        <v>43628</v>
      </c>
      <c r="C1793">
        <v>11906.2</v>
      </c>
      <c r="I1793" s="77"/>
    </row>
    <row r="1794" spans="2:9" x14ac:dyDescent="0.3">
      <c r="B1794" s="77">
        <v>43627</v>
      </c>
      <c r="C1794">
        <v>11965.6</v>
      </c>
      <c r="I1794" s="77"/>
    </row>
    <row r="1795" spans="2:9" x14ac:dyDescent="0.3">
      <c r="B1795" s="77">
        <v>43626</v>
      </c>
      <c r="C1795">
        <v>11922.7</v>
      </c>
      <c r="I1795" s="77"/>
    </row>
    <row r="1796" spans="2:9" x14ac:dyDescent="0.3">
      <c r="B1796" s="77">
        <v>43623</v>
      </c>
      <c r="C1796">
        <v>11870.65</v>
      </c>
      <c r="I1796" s="77"/>
    </row>
    <row r="1797" spans="2:9" x14ac:dyDescent="0.3">
      <c r="B1797" s="77">
        <v>43622</v>
      </c>
      <c r="C1797">
        <v>11843.75</v>
      </c>
      <c r="I1797" s="77"/>
    </row>
    <row r="1798" spans="2:9" x14ac:dyDescent="0.3">
      <c r="B1798" s="77">
        <v>43620</v>
      </c>
      <c r="C1798">
        <v>12021.65</v>
      </c>
      <c r="I1798" s="77"/>
    </row>
    <row r="1799" spans="2:9" x14ac:dyDescent="0.3">
      <c r="B1799" s="77">
        <v>43619</v>
      </c>
      <c r="C1799">
        <v>12088.55</v>
      </c>
      <c r="I1799" s="77"/>
    </row>
    <row r="1800" spans="2:9" x14ac:dyDescent="0.3">
      <c r="B1800" s="77">
        <v>43616</v>
      </c>
      <c r="C1800">
        <v>11922.8</v>
      </c>
      <c r="I1800" s="77"/>
    </row>
    <row r="1801" spans="2:9" x14ac:dyDescent="0.3">
      <c r="B1801" s="77">
        <v>43615</v>
      </c>
      <c r="C1801">
        <v>11945.9</v>
      </c>
      <c r="I1801" s="77"/>
    </row>
    <row r="1802" spans="2:9" x14ac:dyDescent="0.3">
      <c r="B1802" s="77">
        <v>43614</v>
      </c>
      <c r="C1802">
        <v>11861.1</v>
      </c>
      <c r="I1802" s="77"/>
    </row>
    <row r="1803" spans="2:9" x14ac:dyDescent="0.3">
      <c r="B1803" s="77">
        <v>43613</v>
      </c>
      <c r="C1803">
        <v>11928.75</v>
      </c>
      <c r="I1803" s="77"/>
    </row>
    <row r="1804" spans="2:9" x14ac:dyDescent="0.3">
      <c r="B1804" s="77">
        <v>43612</v>
      </c>
      <c r="C1804">
        <v>11924.75</v>
      </c>
      <c r="I1804" s="77"/>
    </row>
    <row r="1805" spans="2:9" x14ac:dyDescent="0.3">
      <c r="B1805" s="77">
        <v>43609</v>
      </c>
      <c r="C1805">
        <v>11844.1</v>
      </c>
      <c r="I1805" s="77"/>
    </row>
    <row r="1806" spans="2:9" x14ac:dyDescent="0.3">
      <c r="B1806" s="77">
        <v>43608</v>
      </c>
      <c r="C1806">
        <v>11657.05</v>
      </c>
      <c r="I1806" s="77"/>
    </row>
    <row r="1807" spans="2:9" x14ac:dyDescent="0.3">
      <c r="B1807" s="77">
        <v>43607</v>
      </c>
      <c r="C1807">
        <v>11737.9</v>
      </c>
      <c r="I1807" s="77"/>
    </row>
    <row r="1808" spans="2:9" x14ac:dyDescent="0.3">
      <c r="B1808" s="77">
        <v>43606</v>
      </c>
      <c r="C1808">
        <v>11709.1</v>
      </c>
      <c r="I1808" s="77"/>
    </row>
    <row r="1809" spans="2:9" x14ac:dyDescent="0.3">
      <c r="B1809" s="77">
        <v>43605</v>
      </c>
      <c r="C1809">
        <v>11828.25</v>
      </c>
      <c r="I1809" s="77"/>
    </row>
    <row r="1810" spans="2:9" x14ac:dyDescent="0.3">
      <c r="B1810" s="77">
        <v>43602</v>
      </c>
      <c r="C1810">
        <v>11407.15</v>
      </c>
      <c r="I1810" s="77"/>
    </row>
    <row r="1811" spans="2:9" x14ac:dyDescent="0.3">
      <c r="B1811" s="77">
        <v>43601</v>
      </c>
      <c r="C1811">
        <v>11257.1</v>
      </c>
      <c r="I1811" s="77"/>
    </row>
    <row r="1812" spans="2:9" x14ac:dyDescent="0.3">
      <c r="B1812" s="77">
        <v>43600</v>
      </c>
      <c r="C1812">
        <v>11157</v>
      </c>
      <c r="I1812" s="77"/>
    </row>
    <row r="1813" spans="2:9" x14ac:dyDescent="0.3">
      <c r="B1813" s="77">
        <v>43599</v>
      </c>
      <c r="C1813">
        <v>11222.05</v>
      </c>
      <c r="I1813" s="77"/>
    </row>
    <row r="1814" spans="2:9" x14ac:dyDescent="0.3">
      <c r="B1814" s="77">
        <v>43598</v>
      </c>
      <c r="C1814">
        <v>11148.2</v>
      </c>
      <c r="I1814" s="77"/>
    </row>
    <row r="1815" spans="2:9" x14ac:dyDescent="0.3">
      <c r="B1815" s="77">
        <v>43595</v>
      </c>
      <c r="C1815">
        <v>11278.9</v>
      </c>
      <c r="I1815" s="77"/>
    </row>
    <row r="1816" spans="2:9" x14ac:dyDescent="0.3">
      <c r="B1816" s="77">
        <v>43594</v>
      </c>
      <c r="C1816">
        <v>11301.8</v>
      </c>
      <c r="I1816" s="77"/>
    </row>
    <row r="1817" spans="2:9" x14ac:dyDescent="0.3">
      <c r="B1817" s="77">
        <v>43593</v>
      </c>
      <c r="C1817">
        <v>11359.45</v>
      </c>
      <c r="I1817" s="77"/>
    </row>
    <row r="1818" spans="2:9" x14ac:dyDescent="0.3">
      <c r="B1818" s="77">
        <v>43592</v>
      </c>
      <c r="C1818">
        <v>11497.9</v>
      </c>
      <c r="I1818" s="77"/>
    </row>
    <row r="1819" spans="2:9" x14ac:dyDescent="0.3">
      <c r="B1819" s="77">
        <v>43591</v>
      </c>
      <c r="C1819">
        <v>11598.25</v>
      </c>
      <c r="I1819" s="77"/>
    </row>
    <row r="1820" spans="2:9" x14ac:dyDescent="0.3">
      <c r="B1820" s="77">
        <v>43588</v>
      </c>
      <c r="C1820">
        <v>11712.25</v>
      </c>
      <c r="I1820" s="77"/>
    </row>
    <row r="1821" spans="2:9" x14ac:dyDescent="0.3">
      <c r="B1821" s="77">
        <v>43587</v>
      </c>
      <c r="C1821">
        <v>11724.75</v>
      </c>
      <c r="I1821" s="77"/>
    </row>
    <row r="1822" spans="2:9" x14ac:dyDescent="0.3">
      <c r="B1822" s="77">
        <v>43585</v>
      </c>
      <c r="C1822">
        <v>11748.15</v>
      </c>
      <c r="I1822" s="77"/>
    </row>
    <row r="1823" spans="2:9" x14ac:dyDescent="0.3">
      <c r="B1823" s="77">
        <v>43581</v>
      </c>
      <c r="C1823">
        <v>11754.65</v>
      </c>
      <c r="I1823" s="77"/>
    </row>
    <row r="1824" spans="2:9" x14ac:dyDescent="0.3">
      <c r="B1824" s="77">
        <v>43580</v>
      </c>
      <c r="C1824">
        <v>11641.8</v>
      </c>
      <c r="I1824" s="77"/>
    </row>
    <row r="1825" spans="2:9" x14ac:dyDescent="0.3">
      <c r="B1825" s="77">
        <v>43579</v>
      </c>
      <c r="C1825">
        <v>11726.15</v>
      </c>
      <c r="I1825" s="77"/>
    </row>
    <row r="1826" spans="2:9" x14ac:dyDescent="0.3">
      <c r="B1826" s="77">
        <v>43578</v>
      </c>
      <c r="C1826">
        <v>11575.95</v>
      </c>
      <c r="I1826" s="77"/>
    </row>
    <row r="1827" spans="2:9" x14ac:dyDescent="0.3">
      <c r="B1827" s="77">
        <v>43577</v>
      </c>
      <c r="C1827">
        <v>11594.45</v>
      </c>
      <c r="I1827" s="77"/>
    </row>
    <row r="1828" spans="2:9" x14ac:dyDescent="0.3">
      <c r="B1828" s="77">
        <v>43573</v>
      </c>
      <c r="C1828">
        <v>11752.8</v>
      </c>
      <c r="I1828" s="77"/>
    </row>
    <row r="1829" spans="2:9" x14ac:dyDescent="0.3">
      <c r="B1829" s="77">
        <v>43571</v>
      </c>
      <c r="C1829">
        <v>11787.15</v>
      </c>
      <c r="I1829" s="77"/>
    </row>
    <row r="1830" spans="2:9" x14ac:dyDescent="0.3">
      <c r="B1830" s="77">
        <v>43570</v>
      </c>
      <c r="C1830">
        <v>11690.35</v>
      </c>
      <c r="I1830" s="77"/>
    </row>
    <row r="1831" spans="2:9" x14ac:dyDescent="0.3">
      <c r="B1831" s="77">
        <v>43567</v>
      </c>
      <c r="C1831">
        <v>11643.45</v>
      </c>
      <c r="I1831" s="77"/>
    </row>
    <row r="1832" spans="2:9" x14ac:dyDescent="0.3">
      <c r="B1832" s="77">
        <v>43566</v>
      </c>
      <c r="C1832">
        <v>11596.7</v>
      </c>
      <c r="I1832" s="77"/>
    </row>
    <row r="1833" spans="2:9" x14ac:dyDescent="0.3">
      <c r="B1833" s="77">
        <v>43565</v>
      </c>
      <c r="C1833">
        <v>11584.3</v>
      </c>
      <c r="I1833" s="77"/>
    </row>
    <row r="1834" spans="2:9" x14ac:dyDescent="0.3">
      <c r="B1834" s="77">
        <v>43564</v>
      </c>
      <c r="C1834">
        <v>11671.95</v>
      </c>
      <c r="I1834" s="77"/>
    </row>
    <row r="1835" spans="2:9" x14ac:dyDescent="0.3">
      <c r="B1835" s="77">
        <v>43563</v>
      </c>
      <c r="C1835">
        <v>11604.5</v>
      </c>
      <c r="I1835" s="77"/>
    </row>
    <row r="1836" spans="2:9" x14ac:dyDescent="0.3">
      <c r="B1836" s="77">
        <v>43560</v>
      </c>
      <c r="C1836">
        <v>11665.95</v>
      </c>
      <c r="I1836" s="77"/>
    </row>
    <row r="1837" spans="2:9" x14ac:dyDescent="0.3">
      <c r="B1837" s="77">
        <v>43559</v>
      </c>
      <c r="C1837">
        <v>11598</v>
      </c>
      <c r="I1837" s="77"/>
    </row>
    <row r="1838" spans="2:9" x14ac:dyDescent="0.3">
      <c r="B1838" s="77">
        <v>43558</v>
      </c>
      <c r="C1838">
        <v>11643.95</v>
      </c>
      <c r="I1838" s="77"/>
    </row>
    <row r="1839" spans="2:9" x14ac:dyDescent="0.3">
      <c r="B1839" s="77">
        <v>43557</v>
      </c>
      <c r="C1839">
        <v>11713.2</v>
      </c>
      <c r="I1839" s="77"/>
    </row>
    <row r="1840" spans="2:9" x14ac:dyDescent="0.3">
      <c r="B1840" s="77">
        <v>43556</v>
      </c>
      <c r="C1840">
        <v>11669.15</v>
      </c>
      <c r="I1840" s="77"/>
    </row>
    <row r="1841" spans="2:9" x14ac:dyDescent="0.3">
      <c r="B1841" s="77">
        <v>43553</v>
      </c>
      <c r="C1841">
        <v>11623.9</v>
      </c>
      <c r="I1841" s="77"/>
    </row>
    <row r="1842" spans="2:9" x14ac:dyDescent="0.3">
      <c r="B1842" s="77">
        <v>43552</v>
      </c>
      <c r="C1842">
        <v>11570</v>
      </c>
      <c r="I1842" s="77"/>
    </row>
    <row r="1843" spans="2:9" x14ac:dyDescent="0.3">
      <c r="B1843" s="77">
        <v>43551</v>
      </c>
      <c r="C1843">
        <v>11445.05</v>
      </c>
      <c r="I1843" s="77"/>
    </row>
    <row r="1844" spans="2:9" x14ac:dyDescent="0.3">
      <c r="B1844" s="77">
        <v>43550</v>
      </c>
      <c r="C1844">
        <v>11483.25</v>
      </c>
      <c r="I1844" s="77"/>
    </row>
    <row r="1845" spans="2:9" x14ac:dyDescent="0.3">
      <c r="B1845" s="77">
        <v>43549</v>
      </c>
      <c r="C1845">
        <v>11354.25</v>
      </c>
      <c r="I1845" s="77"/>
    </row>
    <row r="1846" spans="2:9" x14ac:dyDescent="0.3">
      <c r="B1846" s="77">
        <v>43546</v>
      </c>
      <c r="C1846">
        <v>11456.9</v>
      </c>
      <c r="I1846" s="77"/>
    </row>
    <row r="1847" spans="2:9" x14ac:dyDescent="0.3">
      <c r="B1847" s="77">
        <v>43544</v>
      </c>
      <c r="C1847">
        <v>11521.05</v>
      </c>
      <c r="I1847" s="77"/>
    </row>
    <row r="1848" spans="2:9" x14ac:dyDescent="0.3">
      <c r="B1848" s="77">
        <v>43543</v>
      </c>
      <c r="C1848">
        <v>11532.4</v>
      </c>
      <c r="I1848" s="77"/>
    </row>
    <row r="1849" spans="2:9" x14ac:dyDescent="0.3">
      <c r="B1849" s="77">
        <v>43542</v>
      </c>
      <c r="C1849">
        <v>11462.2</v>
      </c>
      <c r="I1849" s="77"/>
    </row>
    <row r="1850" spans="2:9" x14ac:dyDescent="0.3">
      <c r="B1850" s="77">
        <v>43539</v>
      </c>
      <c r="C1850">
        <v>11426.85</v>
      </c>
      <c r="I1850" s="77"/>
    </row>
    <row r="1851" spans="2:9" x14ac:dyDescent="0.3">
      <c r="B1851" s="77">
        <v>43538</v>
      </c>
      <c r="C1851">
        <v>11343.25</v>
      </c>
      <c r="I1851" s="77"/>
    </row>
    <row r="1852" spans="2:9" x14ac:dyDescent="0.3">
      <c r="B1852" s="77">
        <v>43537</v>
      </c>
      <c r="C1852">
        <v>11341.7</v>
      </c>
      <c r="I1852" s="77"/>
    </row>
    <row r="1853" spans="2:9" x14ac:dyDescent="0.3">
      <c r="B1853" s="77">
        <v>43536</v>
      </c>
      <c r="C1853">
        <v>11301.2</v>
      </c>
      <c r="I1853" s="77"/>
    </row>
    <row r="1854" spans="2:9" x14ac:dyDescent="0.3">
      <c r="B1854" s="77">
        <v>43535</v>
      </c>
      <c r="C1854">
        <v>11168.05</v>
      </c>
      <c r="I1854" s="77"/>
    </row>
    <row r="1855" spans="2:9" x14ac:dyDescent="0.3">
      <c r="B1855" s="77">
        <v>43532</v>
      </c>
      <c r="C1855">
        <v>11035.4</v>
      </c>
      <c r="I1855" s="77"/>
    </row>
    <row r="1856" spans="2:9" x14ac:dyDescent="0.3">
      <c r="B1856" s="77">
        <v>43531</v>
      </c>
      <c r="C1856">
        <v>11058.2</v>
      </c>
      <c r="I1856" s="77"/>
    </row>
    <row r="1857" spans="2:9" x14ac:dyDescent="0.3">
      <c r="B1857" s="77">
        <v>43530</v>
      </c>
      <c r="C1857">
        <v>11053</v>
      </c>
      <c r="I1857" s="77"/>
    </row>
    <row r="1858" spans="2:9" x14ac:dyDescent="0.3">
      <c r="B1858" s="77">
        <v>43529</v>
      </c>
      <c r="C1858">
        <v>10987.45</v>
      </c>
      <c r="I1858" s="77"/>
    </row>
    <row r="1859" spans="2:9" x14ac:dyDescent="0.3">
      <c r="B1859" s="77">
        <v>43525</v>
      </c>
      <c r="C1859">
        <v>10863.5</v>
      </c>
      <c r="I1859" s="77"/>
    </row>
    <row r="1860" spans="2:9" x14ac:dyDescent="0.3">
      <c r="B1860" s="77">
        <v>43524</v>
      </c>
      <c r="C1860">
        <v>10792.5</v>
      </c>
      <c r="I1860" s="77"/>
    </row>
    <row r="1861" spans="2:9" x14ac:dyDescent="0.3">
      <c r="B1861" s="77">
        <v>43523</v>
      </c>
      <c r="C1861">
        <v>10806.65</v>
      </c>
      <c r="I1861" s="77"/>
    </row>
    <row r="1862" spans="2:9" x14ac:dyDescent="0.3">
      <c r="B1862" s="77">
        <v>43522</v>
      </c>
      <c r="C1862">
        <v>10835.3</v>
      </c>
      <c r="I1862" s="77"/>
    </row>
    <row r="1863" spans="2:9" x14ac:dyDescent="0.3">
      <c r="B1863" s="77">
        <v>43521</v>
      </c>
      <c r="C1863">
        <v>10880.1</v>
      </c>
      <c r="I1863" s="77"/>
    </row>
    <row r="1864" spans="2:9" x14ac:dyDescent="0.3">
      <c r="B1864" s="77">
        <v>43518</v>
      </c>
      <c r="C1864">
        <v>10791.65</v>
      </c>
      <c r="I1864" s="77"/>
    </row>
    <row r="1865" spans="2:9" x14ac:dyDescent="0.3">
      <c r="B1865" s="77">
        <v>43517</v>
      </c>
      <c r="C1865">
        <v>10789.85</v>
      </c>
      <c r="I1865" s="77"/>
    </row>
    <row r="1866" spans="2:9" x14ac:dyDescent="0.3">
      <c r="B1866" s="77">
        <v>43516</v>
      </c>
      <c r="C1866">
        <v>10735.45</v>
      </c>
      <c r="I1866" s="77"/>
    </row>
    <row r="1867" spans="2:9" x14ac:dyDescent="0.3">
      <c r="B1867" s="77">
        <v>43515</v>
      </c>
      <c r="C1867">
        <v>10604.35</v>
      </c>
      <c r="I1867" s="77"/>
    </row>
    <row r="1868" spans="2:9" x14ac:dyDescent="0.3">
      <c r="B1868" s="77">
        <v>43514</v>
      </c>
      <c r="C1868">
        <v>10640.95</v>
      </c>
      <c r="I1868" s="77"/>
    </row>
    <row r="1869" spans="2:9" x14ac:dyDescent="0.3">
      <c r="B1869" s="77">
        <v>43511</v>
      </c>
      <c r="C1869">
        <v>10724.4</v>
      </c>
      <c r="I1869" s="77"/>
    </row>
    <row r="1870" spans="2:9" x14ac:dyDescent="0.3">
      <c r="B1870" s="77">
        <v>43510</v>
      </c>
      <c r="C1870">
        <v>10746.05</v>
      </c>
      <c r="I1870" s="77"/>
    </row>
    <row r="1871" spans="2:9" x14ac:dyDescent="0.3">
      <c r="B1871" s="77">
        <v>43509</v>
      </c>
      <c r="C1871">
        <v>10793.65</v>
      </c>
      <c r="I1871" s="77"/>
    </row>
    <row r="1872" spans="2:9" x14ac:dyDescent="0.3">
      <c r="B1872" s="77">
        <v>43508</v>
      </c>
      <c r="C1872">
        <v>10831.4</v>
      </c>
      <c r="I1872" s="77"/>
    </row>
    <row r="1873" spans="2:9" x14ac:dyDescent="0.3">
      <c r="B1873" s="77">
        <v>43507</v>
      </c>
      <c r="C1873">
        <v>10888.8</v>
      </c>
      <c r="I1873" s="77"/>
    </row>
    <row r="1874" spans="2:9" x14ac:dyDescent="0.3">
      <c r="B1874" s="77">
        <v>43504</v>
      </c>
      <c r="C1874">
        <v>10943.6</v>
      </c>
      <c r="I1874" s="77"/>
    </row>
    <row r="1875" spans="2:9" x14ac:dyDescent="0.3">
      <c r="B1875" s="77">
        <v>43503</v>
      </c>
      <c r="C1875">
        <v>11069.4</v>
      </c>
      <c r="I1875" s="77"/>
    </row>
    <row r="1876" spans="2:9" x14ac:dyDescent="0.3">
      <c r="B1876" s="77">
        <v>43502</v>
      </c>
      <c r="C1876">
        <v>11062.45</v>
      </c>
      <c r="I1876" s="77"/>
    </row>
    <row r="1877" spans="2:9" x14ac:dyDescent="0.3">
      <c r="B1877" s="77">
        <v>43501</v>
      </c>
      <c r="C1877">
        <v>10934.35</v>
      </c>
      <c r="I1877" s="77"/>
    </row>
    <row r="1878" spans="2:9" x14ac:dyDescent="0.3">
      <c r="B1878" s="77">
        <v>43500</v>
      </c>
      <c r="C1878">
        <v>10912.25</v>
      </c>
      <c r="I1878" s="77"/>
    </row>
    <row r="1879" spans="2:9" x14ac:dyDescent="0.3">
      <c r="B1879" s="77">
        <v>43497</v>
      </c>
      <c r="C1879">
        <v>10893.65</v>
      </c>
      <c r="I1879" s="77"/>
    </row>
    <row r="1880" spans="2:9" x14ac:dyDescent="0.3">
      <c r="B1880" s="77">
        <v>43496</v>
      </c>
      <c r="C1880">
        <v>10830.95</v>
      </c>
      <c r="I1880" s="77"/>
    </row>
    <row r="1881" spans="2:9" x14ac:dyDescent="0.3">
      <c r="B1881" s="77">
        <v>43495</v>
      </c>
      <c r="C1881">
        <v>10651.8</v>
      </c>
      <c r="I1881" s="77"/>
    </row>
    <row r="1882" spans="2:9" x14ac:dyDescent="0.3">
      <c r="B1882" s="77">
        <v>43494</v>
      </c>
      <c r="C1882">
        <v>10652.2</v>
      </c>
      <c r="I1882" s="77"/>
    </row>
    <row r="1883" spans="2:9" x14ac:dyDescent="0.3">
      <c r="B1883" s="77">
        <v>43493</v>
      </c>
      <c r="C1883">
        <v>10661.55</v>
      </c>
      <c r="I1883" s="77"/>
    </row>
    <row r="1884" spans="2:9" x14ac:dyDescent="0.3">
      <c r="B1884" s="77">
        <v>43490</v>
      </c>
      <c r="C1884">
        <v>10780.55</v>
      </c>
      <c r="I1884" s="77"/>
    </row>
    <row r="1885" spans="2:9" x14ac:dyDescent="0.3">
      <c r="B1885" s="77">
        <v>43489</v>
      </c>
      <c r="C1885">
        <v>10849.8</v>
      </c>
      <c r="I1885" s="77"/>
    </row>
    <row r="1886" spans="2:9" x14ac:dyDescent="0.3">
      <c r="B1886" s="77">
        <v>43488</v>
      </c>
      <c r="C1886">
        <v>10831.5</v>
      </c>
      <c r="I1886" s="77"/>
    </row>
    <row r="1887" spans="2:9" x14ac:dyDescent="0.3">
      <c r="B1887" s="77">
        <v>43487</v>
      </c>
      <c r="C1887">
        <v>10922.75</v>
      </c>
      <c r="I1887" s="77"/>
    </row>
    <row r="1888" spans="2:9" x14ac:dyDescent="0.3">
      <c r="B1888" s="77">
        <v>43486</v>
      </c>
      <c r="C1888">
        <v>10961.85</v>
      </c>
      <c r="I1888" s="77"/>
    </row>
    <row r="1889" spans="2:9" x14ac:dyDescent="0.3">
      <c r="B1889" s="77">
        <v>43483</v>
      </c>
      <c r="C1889">
        <v>10906.95</v>
      </c>
      <c r="I1889" s="77"/>
    </row>
    <row r="1890" spans="2:9" x14ac:dyDescent="0.3">
      <c r="B1890" s="77">
        <v>43482</v>
      </c>
      <c r="C1890">
        <v>10905.2</v>
      </c>
      <c r="I1890" s="77"/>
    </row>
    <row r="1891" spans="2:9" x14ac:dyDescent="0.3">
      <c r="B1891" s="77">
        <v>43481</v>
      </c>
      <c r="C1891">
        <v>10890.3</v>
      </c>
      <c r="I1891" s="77"/>
    </row>
    <row r="1892" spans="2:9" x14ac:dyDescent="0.3">
      <c r="B1892" s="77">
        <v>43480</v>
      </c>
      <c r="C1892">
        <v>10886.8</v>
      </c>
      <c r="I1892" s="77"/>
    </row>
    <row r="1893" spans="2:9" x14ac:dyDescent="0.3">
      <c r="B1893" s="77">
        <v>43479</v>
      </c>
      <c r="C1893">
        <v>10737.6</v>
      </c>
      <c r="I1893" s="77"/>
    </row>
    <row r="1894" spans="2:9" x14ac:dyDescent="0.3">
      <c r="B1894" s="77">
        <v>43476</v>
      </c>
      <c r="C1894">
        <v>10794.95</v>
      </c>
      <c r="I1894" s="77"/>
    </row>
    <row r="1895" spans="2:9" x14ac:dyDescent="0.3">
      <c r="B1895" s="77">
        <v>43475</v>
      </c>
      <c r="C1895">
        <v>10821.6</v>
      </c>
      <c r="I1895" s="77"/>
    </row>
    <row r="1896" spans="2:9" x14ac:dyDescent="0.3">
      <c r="B1896" s="77">
        <v>43474</v>
      </c>
      <c r="C1896">
        <v>10855.15</v>
      </c>
      <c r="I1896" s="77"/>
    </row>
    <row r="1897" spans="2:9" x14ac:dyDescent="0.3">
      <c r="B1897" s="77">
        <v>43473</v>
      </c>
      <c r="C1897">
        <v>10802.15</v>
      </c>
      <c r="I1897" s="77"/>
    </row>
    <row r="1898" spans="2:9" x14ac:dyDescent="0.3">
      <c r="B1898" s="77">
        <v>43472</v>
      </c>
      <c r="C1898">
        <v>10771.8</v>
      </c>
      <c r="I1898" s="77"/>
    </row>
    <row r="1899" spans="2:9" x14ac:dyDescent="0.3">
      <c r="B1899" s="77">
        <v>43469</v>
      </c>
      <c r="C1899">
        <v>10727.35</v>
      </c>
      <c r="I1899" s="77"/>
    </row>
    <row r="1900" spans="2:9" x14ac:dyDescent="0.3">
      <c r="B1900" s="77">
        <v>43468</v>
      </c>
      <c r="C1900">
        <v>10672.25</v>
      </c>
      <c r="I1900" s="77"/>
    </row>
    <row r="1901" spans="2:9" x14ac:dyDescent="0.3">
      <c r="B1901" s="77">
        <v>43467</v>
      </c>
      <c r="C1901">
        <v>10792.5</v>
      </c>
      <c r="I1901" s="77"/>
    </row>
    <row r="1902" spans="2:9" x14ac:dyDescent="0.3">
      <c r="B1902" s="77">
        <v>43466</v>
      </c>
      <c r="C1902">
        <v>10910.1</v>
      </c>
      <c r="I1902" s="77"/>
    </row>
    <row r="1903" spans="2:9" x14ac:dyDescent="0.3">
      <c r="B1903" s="77">
        <v>43465</v>
      </c>
      <c r="C1903">
        <v>10862.55</v>
      </c>
      <c r="I1903" s="77"/>
    </row>
    <row r="1904" spans="2:9" x14ac:dyDescent="0.3">
      <c r="B1904" s="77">
        <v>43462</v>
      </c>
      <c r="C1904">
        <v>10859.9</v>
      </c>
      <c r="I1904" s="77"/>
    </row>
    <row r="1905" spans="2:9" x14ac:dyDescent="0.3">
      <c r="B1905" s="77">
        <v>43461</v>
      </c>
      <c r="C1905">
        <v>10779.8</v>
      </c>
      <c r="I1905" s="77"/>
    </row>
    <row r="1906" spans="2:9" x14ac:dyDescent="0.3">
      <c r="B1906" s="77">
        <v>43460</v>
      </c>
      <c r="C1906">
        <v>10729.85</v>
      </c>
      <c r="I1906" s="77"/>
    </row>
    <row r="1907" spans="2:9" x14ac:dyDescent="0.3">
      <c r="B1907" s="77">
        <v>43458</v>
      </c>
      <c r="C1907">
        <v>10663.5</v>
      </c>
      <c r="I1907" s="77"/>
    </row>
    <row r="1908" spans="2:9" x14ac:dyDescent="0.3">
      <c r="B1908" s="77">
        <v>43455</v>
      </c>
      <c r="C1908">
        <v>10754</v>
      </c>
      <c r="I1908" s="77"/>
    </row>
    <row r="1909" spans="2:9" x14ac:dyDescent="0.3">
      <c r="B1909" s="77">
        <v>43454</v>
      </c>
      <c r="C1909">
        <v>10951.7</v>
      </c>
      <c r="I1909" s="77"/>
    </row>
    <row r="1910" spans="2:9" x14ac:dyDescent="0.3">
      <c r="B1910" s="77">
        <v>43453</v>
      </c>
      <c r="C1910">
        <v>10967.3</v>
      </c>
      <c r="I1910" s="77"/>
    </row>
    <row r="1911" spans="2:9" x14ac:dyDescent="0.3">
      <c r="B1911" s="77">
        <v>43452</v>
      </c>
      <c r="C1911">
        <v>10908.7</v>
      </c>
      <c r="I1911" s="77"/>
    </row>
    <row r="1912" spans="2:9" x14ac:dyDescent="0.3">
      <c r="B1912" s="77">
        <v>43451</v>
      </c>
      <c r="C1912">
        <v>10888.35</v>
      </c>
      <c r="I1912" s="77"/>
    </row>
    <row r="1913" spans="2:9" x14ac:dyDescent="0.3">
      <c r="B1913" s="77">
        <v>43448</v>
      </c>
      <c r="C1913">
        <v>10805.45</v>
      </c>
      <c r="I1913" s="77"/>
    </row>
    <row r="1914" spans="2:9" x14ac:dyDescent="0.3">
      <c r="B1914" s="77">
        <v>43447</v>
      </c>
      <c r="C1914">
        <v>10791.55</v>
      </c>
      <c r="I1914" s="77"/>
    </row>
    <row r="1915" spans="2:9" x14ac:dyDescent="0.3">
      <c r="B1915" s="77">
        <v>43446</v>
      </c>
      <c r="C1915">
        <v>10737.6</v>
      </c>
      <c r="I1915" s="77"/>
    </row>
    <row r="1916" spans="2:9" x14ac:dyDescent="0.3">
      <c r="B1916" s="77">
        <v>43445</v>
      </c>
      <c r="C1916">
        <v>10549.15</v>
      </c>
      <c r="I1916" s="77"/>
    </row>
    <row r="1917" spans="2:9" x14ac:dyDescent="0.3">
      <c r="B1917" s="77">
        <v>43444</v>
      </c>
      <c r="C1917">
        <v>10488.45</v>
      </c>
      <c r="I1917" s="77"/>
    </row>
    <row r="1918" spans="2:9" x14ac:dyDescent="0.3">
      <c r="B1918" s="77">
        <v>43441</v>
      </c>
      <c r="C1918">
        <v>10693.7</v>
      </c>
      <c r="I1918" s="77"/>
    </row>
    <row r="1919" spans="2:9" x14ac:dyDescent="0.3">
      <c r="B1919" s="77">
        <v>43440</v>
      </c>
      <c r="C1919">
        <v>10601.15</v>
      </c>
      <c r="I1919" s="77"/>
    </row>
    <row r="1920" spans="2:9" x14ac:dyDescent="0.3">
      <c r="B1920" s="77">
        <v>43439</v>
      </c>
      <c r="C1920">
        <v>10782.9</v>
      </c>
      <c r="I1920" s="77"/>
    </row>
    <row r="1921" spans="2:9" x14ac:dyDescent="0.3">
      <c r="B1921" s="77">
        <v>43438</v>
      </c>
      <c r="C1921">
        <v>10869.5</v>
      </c>
      <c r="I1921" s="77"/>
    </row>
    <row r="1922" spans="2:9" x14ac:dyDescent="0.3">
      <c r="B1922" s="77">
        <v>43437</v>
      </c>
      <c r="C1922">
        <v>10883.75</v>
      </c>
      <c r="I1922" s="77"/>
    </row>
    <row r="1923" spans="2:9" x14ac:dyDescent="0.3">
      <c r="B1923" s="77">
        <v>43434</v>
      </c>
      <c r="C1923">
        <v>10876.75</v>
      </c>
      <c r="I1923" s="77"/>
    </row>
    <row r="1924" spans="2:9" x14ac:dyDescent="0.3">
      <c r="B1924" s="77">
        <v>43433</v>
      </c>
      <c r="C1924">
        <v>10858.7</v>
      </c>
      <c r="I1924" s="77"/>
    </row>
    <row r="1925" spans="2:9" x14ac:dyDescent="0.3">
      <c r="B1925" s="77">
        <v>43432</v>
      </c>
      <c r="C1925">
        <v>10728.85</v>
      </c>
      <c r="I1925" s="77"/>
    </row>
    <row r="1926" spans="2:9" x14ac:dyDescent="0.3">
      <c r="B1926" s="77">
        <v>43431</v>
      </c>
      <c r="C1926">
        <v>10685.6</v>
      </c>
      <c r="I1926" s="77"/>
    </row>
    <row r="1927" spans="2:9" x14ac:dyDescent="0.3">
      <c r="B1927" s="77">
        <v>43430</v>
      </c>
      <c r="C1927">
        <v>10628.6</v>
      </c>
      <c r="I1927" s="77"/>
    </row>
    <row r="1928" spans="2:9" x14ac:dyDescent="0.3">
      <c r="B1928" s="77">
        <v>43426</v>
      </c>
      <c r="C1928">
        <v>10526.75</v>
      </c>
      <c r="I1928" s="77"/>
    </row>
    <row r="1929" spans="2:9" x14ac:dyDescent="0.3">
      <c r="B1929" s="77">
        <v>43425</v>
      </c>
      <c r="C1929">
        <v>10600.05</v>
      </c>
      <c r="I1929" s="77"/>
    </row>
    <row r="1930" spans="2:9" x14ac:dyDescent="0.3">
      <c r="B1930" s="77">
        <v>43424</v>
      </c>
      <c r="C1930">
        <v>10656.2</v>
      </c>
      <c r="I1930" s="77"/>
    </row>
    <row r="1931" spans="2:9" x14ac:dyDescent="0.3">
      <c r="B1931" s="77">
        <v>43423</v>
      </c>
      <c r="C1931">
        <v>10763.4</v>
      </c>
      <c r="I1931" s="77"/>
    </row>
    <row r="1932" spans="2:9" x14ac:dyDescent="0.3">
      <c r="B1932" s="77">
        <v>43420</v>
      </c>
      <c r="C1932">
        <v>10682.2</v>
      </c>
      <c r="I1932" s="77"/>
    </row>
    <row r="1933" spans="2:9" x14ac:dyDescent="0.3">
      <c r="B1933" s="77">
        <v>43419</v>
      </c>
      <c r="C1933">
        <v>10616.7</v>
      </c>
      <c r="I1933" s="77"/>
    </row>
    <row r="1934" spans="2:9" x14ac:dyDescent="0.3">
      <c r="B1934" s="77">
        <v>43418</v>
      </c>
      <c r="C1934">
        <v>10576.3</v>
      </c>
      <c r="I1934" s="77"/>
    </row>
    <row r="1935" spans="2:9" x14ac:dyDescent="0.3">
      <c r="B1935" s="77">
        <v>43417</v>
      </c>
      <c r="C1935">
        <v>10582.5</v>
      </c>
      <c r="I1935" s="77"/>
    </row>
    <row r="1936" spans="2:9" x14ac:dyDescent="0.3">
      <c r="B1936" s="77">
        <v>43416</v>
      </c>
      <c r="C1936">
        <v>10482.200000000001</v>
      </c>
      <c r="I1936" s="77"/>
    </row>
    <row r="1937" spans="2:9" x14ac:dyDescent="0.3">
      <c r="B1937" s="77">
        <v>43413</v>
      </c>
      <c r="C1937">
        <v>10585.2</v>
      </c>
      <c r="I1937" s="77"/>
    </row>
    <row r="1938" spans="2:9" x14ac:dyDescent="0.3">
      <c r="B1938" s="77">
        <v>43411</v>
      </c>
      <c r="C1938">
        <v>10598.4</v>
      </c>
      <c r="I1938" s="77"/>
    </row>
    <row r="1939" spans="2:9" x14ac:dyDescent="0.3">
      <c r="B1939" s="77">
        <v>43410</v>
      </c>
      <c r="C1939">
        <v>10530</v>
      </c>
      <c r="I1939" s="77"/>
    </row>
    <row r="1940" spans="2:9" x14ac:dyDescent="0.3">
      <c r="B1940" s="77">
        <v>43409</v>
      </c>
      <c r="C1940">
        <v>10524</v>
      </c>
      <c r="I1940" s="77"/>
    </row>
    <row r="1941" spans="2:9" x14ac:dyDescent="0.3">
      <c r="B1941" s="77">
        <v>43406</v>
      </c>
      <c r="C1941">
        <v>10553</v>
      </c>
      <c r="I1941" s="77"/>
    </row>
    <row r="1942" spans="2:9" x14ac:dyDescent="0.3">
      <c r="B1942" s="77">
        <v>43405</v>
      </c>
      <c r="C1942">
        <v>10380.450000000001</v>
      </c>
      <c r="I1942" s="77"/>
    </row>
    <row r="1943" spans="2:9" x14ac:dyDescent="0.3">
      <c r="B1943" s="77">
        <v>43404</v>
      </c>
      <c r="C1943">
        <v>10386.6</v>
      </c>
      <c r="I1943" s="77"/>
    </row>
    <row r="1944" spans="2:9" x14ac:dyDescent="0.3">
      <c r="B1944" s="77">
        <v>43403</v>
      </c>
      <c r="C1944">
        <v>10198.4</v>
      </c>
      <c r="I1944" s="77"/>
    </row>
    <row r="1945" spans="2:9" x14ac:dyDescent="0.3">
      <c r="B1945" s="77">
        <v>43402</v>
      </c>
      <c r="C1945">
        <v>10250.85</v>
      </c>
      <c r="I1945" s="77"/>
    </row>
    <row r="1946" spans="2:9" x14ac:dyDescent="0.3">
      <c r="B1946" s="77">
        <v>43399</v>
      </c>
      <c r="C1946">
        <v>10030</v>
      </c>
      <c r="I1946" s="77"/>
    </row>
    <row r="1947" spans="2:9" x14ac:dyDescent="0.3">
      <c r="B1947" s="77">
        <v>43398</v>
      </c>
      <c r="C1947">
        <v>10124.9</v>
      </c>
      <c r="I1947" s="77"/>
    </row>
    <row r="1948" spans="2:9" x14ac:dyDescent="0.3">
      <c r="B1948" s="77">
        <v>43397</v>
      </c>
      <c r="C1948">
        <v>10224.75</v>
      </c>
      <c r="I1948" s="77"/>
    </row>
    <row r="1949" spans="2:9" x14ac:dyDescent="0.3">
      <c r="B1949" s="77">
        <v>43396</v>
      </c>
      <c r="C1949">
        <v>10146.799999999999</v>
      </c>
      <c r="I1949" s="77"/>
    </row>
    <row r="1950" spans="2:9" x14ac:dyDescent="0.3">
      <c r="B1950" s="77">
        <v>43395</v>
      </c>
      <c r="C1950">
        <v>10245.25</v>
      </c>
      <c r="I1950" s="77"/>
    </row>
    <row r="1951" spans="2:9" x14ac:dyDescent="0.3">
      <c r="B1951" s="77">
        <v>43392</v>
      </c>
      <c r="C1951">
        <v>10303.549999999999</v>
      </c>
      <c r="I1951" s="77"/>
    </row>
    <row r="1952" spans="2:9" x14ac:dyDescent="0.3">
      <c r="B1952" s="77">
        <v>43390</v>
      </c>
      <c r="C1952">
        <v>10453.049999999999</v>
      </c>
      <c r="I1952" s="77"/>
    </row>
    <row r="1953" spans="2:9" x14ac:dyDescent="0.3">
      <c r="B1953" s="77">
        <v>43389</v>
      </c>
      <c r="C1953">
        <v>10584.75</v>
      </c>
      <c r="I1953" s="77"/>
    </row>
    <row r="1954" spans="2:9" x14ac:dyDescent="0.3">
      <c r="B1954" s="77">
        <v>43388</v>
      </c>
      <c r="C1954">
        <v>10512.5</v>
      </c>
      <c r="I1954" s="77"/>
    </row>
    <row r="1955" spans="2:9" x14ac:dyDescent="0.3">
      <c r="B1955" s="77">
        <v>43385</v>
      </c>
      <c r="C1955">
        <v>10472.5</v>
      </c>
      <c r="I1955" s="77"/>
    </row>
    <row r="1956" spans="2:9" x14ac:dyDescent="0.3">
      <c r="B1956" s="77">
        <v>43384</v>
      </c>
      <c r="C1956">
        <v>10234.65</v>
      </c>
      <c r="I1956" s="77"/>
    </row>
    <row r="1957" spans="2:9" x14ac:dyDescent="0.3">
      <c r="B1957" s="77">
        <v>43383</v>
      </c>
      <c r="C1957">
        <v>10460.1</v>
      </c>
      <c r="I1957" s="77"/>
    </row>
    <row r="1958" spans="2:9" x14ac:dyDescent="0.3">
      <c r="B1958" s="77">
        <v>43382</v>
      </c>
      <c r="C1958">
        <v>10301.049999999999</v>
      </c>
      <c r="I1958" s="77"/>
    </row>
    <row r="1959" spans="2:9" x14ac:dyDescent="0.3">
      <c r="B1959" s="77">
        <v>43381</v>
      </c>
      <c r="C1959">
        <v>10348.049999999999</v>
      </c>
      <c r="I1959" s="77"/>
    </row>
    <row r="1960" spans="2:9" x14ac:dyDescent="0.3">
      <c r="B1960" s="77">
        <v>43378</v>
      </c>
      <c r="C1960">
        <v>10316.450000000001</v>
      </c>
      <c r="I1960" s="77"/>
    </row>
    <row r="1961" spans="2:9" x14ac:dyDescent="0.3">
      <c r="B1961" s="77">
        <v>43377</v>
      </c>
      <c r="C1961">
        <v>10599.25</v>
      </c>
      <c r="I1961" s="77"/>
    </row>
    <row r="1962" spans="2:9" x14ac:dyDescent="0.3">
      <c r="B1962" s="77">
        <v>43376</v>
      </c>
      <c r="C1962">
        <v>10858.25</v>
      </c>
      <c r="I1962" s="77"/>
    </row>
    <row r="1963" spans="2:9" x14ac:dyDescent="0.3">
      <c r="B1963" s="77">
        <v>43374</v>
      </c>
      <c r="C1963">
        <v>11008.3</v>
      </c>
      <c r="I1963" s="77"/>
    </row>
    <row r="1964" spans="2:9" x14ac:dyDescent="0.3">
      <c r="B1964" s="77">
        <v>43371</v>
      </c>
      <c r="C1964">
        <v>10930.45</v>
      </c>
      <c r="I1964" s="77"/>
    </row>
    <row r="1965" spans="2:9" x14ac:dyDescent="0.3">
      <c r="B1965" s="77">
        <v>43370</v>
      </c>
      <c r="C1965">
        <v>10977.55</v>
      </c>
      <c r="I1965" s="77"/>
    </row>
    <row r="1966" spans="2:9" x14ac:dyDescent="0.3">
      <c r="B1966" s="77">
        <v>43369</v>
      </c>
      <c r="C1966">
        <v>11053.8</v>
      </c>
      <c r="I1966" s="77"/>
    </row>
    <row r="1967" spans="2:9" x14ac:dyDescent="0.3">
      <c r="B1967" s="77">
        <v>43368</v>
      </c>
      <c r="C1967">
        <v>11067.45</v>
      </c>
      <c r="I1967" s="77"/>
    </row>
    <row r="1968" spans="2:9" x14ac:dyDescent="0.3">
      <c r="B1968" s="77">
        <v>43367</v>
      </c>
      <c r="C1968">
        <v>10967.4</v>
      </c>
      <c r="I1968" s="77"/>
    </row>
    <row r="1969" spans="2:9" x14ac:dyDescent="0.3">
      <c r="B1969" s="77">
        <v>43364</v>
      </c>
      <c r="C1969">
        <v>11143.1</v>
      </c>
      <c r="I1969" s="77"/>
    </row>
    <row r="1970" spans="2:9" x14ac:dyDescent="0.3">
      <c r="B1970" s="77">
        <v>43362</v>
      </c>
      <c r="C1970">
        <v>11234.35</v>
      </c>
      <c r="I1970" s="77"/>
    </row>
    <row r="1971" spans="2:9" x14ac:dyDescent="0.3">
      <c r="B1971" s="77">
        <v>43361</v>
      </c>
      <c r="C1971">
        <v>11278.9</v>
      </c>
      <c r="I1971" s="77"/>
    </row>
    <row r="1972" spans="2:9" x14ac:dyDescent="0.3">
      <c r="B1972" s="77">
        <v>43360</v>
      </c>
      <c r="C1972">
        <v>11377.75</v>
      </c>
      <c r="I1972" s="77"/>
    </row>
    <row r="1973" spans="2:9" x14ac:dyDescent="0.3">
      <c r="B1973" s="77">
        <v>43357</v>
      </c>
      <c r="C1973">
        <v>11515.2</v>
      </c>
      <c r="I1973" s="77"/>
    </row>
    <row r="1974" spans="2:9" x14ac:dyDescent="0.3">
      <c r="B1974" s="77">
        <v>43355</v>
      </c>
      <c r="C1974">
        <v>11369.9</v>
      </c>
      <c r="I1974" s="77"/>
    </row>
    <row r="1975" spans="2:9" x14ac:dyDescent="0.3">
      <c r="B1975" s="77">
        <v>43354</v>
      </c>
      <c r="C1975">
        <v>11287.5</v>
      </c>
      <c r="I1975" s="77"/>
    </row>
    <row r="1976" spans="2:9" x14ac:dyDescent="0.3">
      <c r="B1976" s="77">
        <v>43353</v>
      </c>
      <c r="C1976">
        <v>11438.1</v>
      </c>
      <c r="I1976" s="77"/>
    </row>
    <row r="1977" spans="2:9" x14ac:dyDescent="0.3">
      <c r="B1977" s="77">
        <v>43350</v>
      </c>
      <c r="C1977">
        <v>11589.1</v>
      </c>
      <c r="I1977" s="77"/>
    </row>
    <row r="1978" spans="2:9" x14ac:dyDescent="0.3">
      <c r="B1978" s="77">
        <v>43349</v>
      </c>
      <c r="C1978">
        <v>11536.9</v>
      </c>
      <c r="I1978" s="77"/>
    </row>
    <row r="1979" spans="2:9" x14ac:dyDescent="0.3">
      <c r="B1979" s="77">
        <v>43348</v>
      </c>
      <c r="C1979">
        <v>11476.95</v>
      </c>
      <c r="I1979" s="77"/>
    </row>
    <row r="1980" spans="2:9" x14ac:dyDescent="0.3">
      <c r="B1980" s="77">
        <v>43347</v>
      </c>
      <c r="C1980">
        <v>11520.3</v>
      </c>
      <c r="I1980" s="77"/>
    </row>
    <row r="1981" spans="2:9" x14ac:dyDescent="0.3">
      <c r="B1981" s="77">
        <v>43346</v>
      </c>
      <c r="C1981">
        <v>11582.35</v>
      </c>
      <c r="I1981" s="77"/>
    </row>
    <row r="1982" spans="2:9" x14ac:dyDescent="0.3">
      <c r="B1982" s="77">
        <v>43343</v>
      </c>
      <c r="C1982">
        <v>11680.5</v>
      </c>
      <c r="I1982" s="77"/>
    </row>
    <row r="1983" spans="2:9" x14ac:dyDescent="0.3">
      <c r="B1983" s="77">
        <v>43342</v>
      </c>
      <c r="C1983">
        <v>11676.8</v>
      </c>
      <c r="I1983" s="77"/>
    </row>
    <row r="1984" spans="2:9" x14ac:dyDescent="0.3">
      <c r="B1984" s="77">
        <v>43341</v>
      </c>
      <c r="C1984">
        <v>11691.9</v>
      </c>
      <c r="I1984" s="77"/>
    </row>
    <row r="1985" spans="2:9" x14ac:dyDescent="0.3">
      <c r="B1985" s="77">
        <v>43340</v>
      </c>
      <c r="C1985">
        <v>11738.5</v>
      </c>
      <c r="I1985" s="77"/>
    </row>
    <row r="1986" spans="2:9" x14ac:dyDescent="0.3">
      <c r="B1986" s="77">
        <v>43339</v>
      </c>
      <c r="C1986">
        <v>11691.95</v>
      </c>
      <c r="I1986" s="77"/>
    </row>
    <row r="1987" spans="2:9" x14ac:dyDescent="0.3">
      <c r="B1987" s="77">
        <v>43336</v>
      </c>
      <c r="C1987">
        <v>11557.1</v>
      </c>
      <c r="I1987" s="77"/>
    </row>
    <row r="1988" spans="2:9" x14ac:dyDescent="0.3">
      <c r="B1988" s="77">
        <v>43335</v>
      </c>
      <c r="C1988">
        <v>11582.75</v>
      </c>
      <c r="I1988" s="77"/>
    </row>
    <row r="1989" spans="2:9" x14ac:dyDescent="0.3">
      <c r="B1989" s="77">
        <v>43333</v>
      </c>
      <c r="C1989">
        <v>11570.9</v>
      </c>
      <c r="I1989" s="77"/>
    </row>
    <row r="1990" spans="2:9" x14ac:dyDescent="0.3">
      <c r="B1990" s="77">
        <v>43332</v>
      </c>
      <c r="C1990">
        <v>11551.75</v>
      </c>
      <c r="I1990" s="77"/>
    </row>
    <row r="1991" spans="2:9" x14ac:dyDescent="0.3">
      <c r="B1991" s="77">
        <v>43329</v>
      </c>
      <c r="C1991">
        <v>11470.75</v>
      </c>
      <c r="I1991" s="77"/>
    </row>
    <row r="1992" spans="2:9" x14ac:dyDescent="0.3">
      <c r="B1992" s="77">
        <v>43328</v>
      </c>
      <c r="C1992">
        <v>11385.05</v>
      </c>
      <c r="I1992" s="77"/>
    </row>
    <row r="1993" spans="2:9" x14ac:dyDescent="0.3">
      <c r="B1993" s="77">
        <v>43326</v>
      </c>
      <c r="C1993">
        <v>11435.1</v>
      </c>
      <c r="I1993" s="77"/>
    </row>
    <row r="1994" spans="2:9" x14ac:dyDescent="0.3">
      <c r="B1994" s="77">
        <v>43325</v>
      </c>
      <c r="C1994">
        <v>11355.75</v>
      </c>
      <c r="I1994" s="77"/>
    </row>
    <row r="1995" spans="2:9" x14ac:dyDescent="0.3">
      <c r="B1995" s="77">
        <v>43322</v>
      </c>
      <c r="C1995">
        <v>11429.5</v>
      </c>
      <c r="I1995" s="77"/>
    </row>
    <row r="1996" spans="2:9" x14ac:dyDescent="0.3">
      <c r="B1996" s="77">
        <v>43321</v>
      </c>
      <c r="C1996">
        <v>11470.7</v>
      </c>
      <c r="I1996" s="77"/>
    </row>
    <row r="1997" spans="2:9" x14ac:dyDescent="0.3">
      <c r="B1997" s="77">
        <v>43320</v>
      </c>
      <c r="C1997">
        <v>11450</v>
      </c>
      <c r="I1997" s="77"/>
    </row>
    <row r="1998" spans="2:9" x14ac:dyDescent="0.3">
      <c r="B1998" s="77">
        <v>43319</v>
      </c>
      <c r="C1998">
        <v>11389.45</v>
      </c>
      <c r="I1998" s="77"/>
    </row>
    <row r="1999" spans="2:9" x14ac:dyDescent="0.3">
      <c r="B1999" s="77">
        <v>43318</v>
      </c>
      <c r="C1999">
        <v>11387.1</v>
      </c>
      <c r="I1999" s="77"/>
    </row>
    <row r="2000" spans="2:9" x14ac:dyDescent="0.3">
      <c r="B2000" s="77">
        <v>43315</v>
      </c>
      <c r="C2000">
        <v>11360.8</v>
      </c>
      <c r="I2000" s="77"/>
    </row>
    <row r="2001" spans="2:9" x14ac:dyDescent="0.3">
      <c r="B2001" s="77">
        <v>43314</v>
      </c>
      <c r="C2001">
        <v>11244.7</v>
      </c>
      <c r="I2001" s="77"/>
    </row>
    <row r="2002" spans="2:9" x14ac:dyDescent="0.3">
      <c r="B2002" s="77">
        <v>43313</v>
      </c>
      <c r="C2002">
        <v>11346.2</v>
      </c>
      <c r="I2002" s="77"/>
    </row>
    <row r="2003" spans="2:9" x14ac:dyDescent="0.3">
      <c r="B2003" s="77">
        <v>43312</v>
      </c>
      <c r="C2003">
        <v>11356.5</v>
      </c>
      <c r="I2003" s="77"/>
    </row>
    <row r="2004" spans="2:9" x14ac:dyDescent="0.3">
      <c r="B2004" s="77">
        <v>43311</v>
      </c>
      <c r="C2004">
        <v>11319.55</v>
      </c>
      <c r="I2004" s="77"/>
    </row>
    <row r="2005" spans="2:9" x14ac:dyDescent="0.3">
      <c r="B2005" s="77">
        <v>43308</v>
      </c>
      <c r="C2005">
        <v>11278.35</v>
      </c>
      <c r="I2005" s="77"/>
    </row>
    <row r="2006" spans="2:9" x14ac:dyDescent="0.3">
      <c r="B2006" s="77">
        <v>43307</v>
      </c>
      <c r="C2006">
        <v>11167.3</v>
      </c>
      <c r="I2006" s="77"/>
    </row>
    <row r="2007" spans="2:9" x14ac:dyDescent="0.3">
      <c r="B2007" s="77">
        <v>43306</v>
      </c>
      <c r="C2007">
        <v>11132</v>
      </c>
      <c r="I2007" s="77"/>
    </row>
    <row r="2008" spans="2:9" x14ac:dyDescent="0.3">
      <c r="B2008" s="77">
        <v>43305</v>
      </c>
      <c r="C2008">
        <v>11134.3</v>
      </c>
      <c r="I2008" s="77"/>
    </row>
    <row r="2009" spans="2:9" x14ac:dyDescent="0.3">
      <c r="B2009" s="77">
        <v>43304</v>
      </c>
      <c r="C2009">
        <v>11084.75</v>
      </c>
      <c r="I2009" s="77"/>
    </row>
    <row r="2010" spans="2:9" x14ac:dyDescent="0.3">
      <c r="B2010" s="77">
        <v>43301</v>
      </c>
      <c r="C2010">
        <v>11010.2</v>
      </c>
      <c r="I2010" s="77"/>
    </row>
    <row r="2011" spans="2:9" x14ac:dyDescent="0.3">
      <c r="B2011" s="77">
        <v>43300</v>
      </c>
      <c r="C2011">
        <v>10957.1</v>
      </c>
      <c r="I2011" s="77"/>
    </row>
    <row r="2012" spans="2:9" x14ac:dyDescent="0.3">
      <c r="B2012" s="77">
        <v>43299</v>
      </c>
      <c r="C2012">
        <v>10980.45</v>
      </c>
      <c r="I2012" s="77"/>
    </row>
    <row r="2013" spans="2:9" x14ac:dyDescent="0.3">
      <c r="B2013" s="77">
        <v>43298</v>
      </c>
      <c r="C2013">
        <v>11008.05</v>
      </c>
      <c r="I2013" s="77"/>
    </row>
    <row r="2014" spans="2:9" x14ac:dyDescent="0.3">
      <c r="B2014" s="77">
        <v>43297</v>
      </c>
      <c r="C2014">
        <v>10936.85</v>
      </c>
      <c r="I2014" s="77"/>
    </row>
    <row r="2015" spans="2:9" x14ac:dyDescent="0.3">
      <c r="B2015" s="77">
        <v>43294</v>
      </c>
      <c r="C2015">
        <v>11018.9</v>
      </c>
      <c r="I2015" s="77"/>
    </row>
    <row r="2016" spans="2:9" x14ac:dyDescent="0.3">
      <c r="B2016" s="77">
        <v>43293</v>
      </c>
      <c r="C2016">
        <v>11023.2</v>
      </c>
      <c r="I2016" s="77"/>
    </row>
    <row r="2017" spans="2:9" x14ac:dyDescent="0.3">
      <c r="B2017" s="77">
        <v>43292</v>
      </c>
      <c r="C2017">
        <v>10948.3</v>
      </c>
      <c r="I2017" s="77"/>
    </row>
    <row r="2018" spans="2:9" x14ac:dyDescent="0.3">
      <c r="B2018" s="77">
        <v>43291</v>
      </c>
      <c r="C2018">
        <v>10947.25</v>
      </c>
      <c r="I2018" s="77"/>
    </row>
    <row r="2019" spans="2:9" x14ac:dyDescent="0.3">
      <c r="B2019" s="77">
        <v>43290</v>
      </c>
      <c r="C2019">
        <v>10852.9</v>
      </c>
      <c r="I2019" s="77"/>
    </row>
    <row r="2020" spans="2:9" x14ac:dyDescent="0.3">
      <c r="B2020" s="77">
        <v>43287</v>
      </c>
      <c r="C2020">
        <v>10772.65</v>
      </c>
      <c r="I2020" s="77"/>
    </row>
    <row r="2021" spans="2:9" x14ac:dyDescent="0.3">
      <c r="B2021" s="77">
        <v>43286</v>
      </c>
      <c r="C2021">
        <v>10749.75</v>
      </c>
      <c r="I2021" s="77"/>
    </row>
    <row r="2022" spans="2:9" x14ac:dyDescent="0.3">
      <c r="B2022" s="77">
        <v>43285</v>
      </c>
      <c r="C2022">
        <v>10769.9</v>
      </c>
      <c r="I2022" s="77"/>
    </row>
    <row r="2023" spans="2:9" x14ac:dyDescent="0.3">
      <c r="B2023" s="77">
        <v>43284</v>
      </c>
      <c r="C2023">
        <v>10699.9</v>
      </c>
      <c r="I2023" s="77"/>
    </row>
    <row r="2024" spans="2:9" x14ac:dyDescent="0.3">
      <c r="B2024" s="77">
        <v>43283</v>
      </c>
      <c r="C2024">
        <v>10657.3</v>
      </c>
      <c r="I2024" s="77"/>
    </row>
    <row r="2025" spans="2:9" x14ac:dyDescent="0.3">
      <c r="B2025" s="77">
        <v>43280</v>
      </c>
      <c r="C2025">
        <v>10714.3</v>
      </c>
      <c r="I2025" s="77"/>
    </row>
    <row r="2026" spans="2:9" x14ac:dyDescent="0.3">
      <c r="B2026" s="77">
        <v>43279</v>
      </c>
      <c r="C2026">
        <v>10589.1</v>
      </c>
      <c r="I2026" s="77"/>
    </row>
    <row r="2027" spans="2:9" x14ac:dyDescent="0.3">
      <c r="B2027" s="77">
        <v>43278</v>
      </c>
      <c r="C2027">
        <v>10671.4</v>
      </c>
      <c r="I2027" s="77"/>
    </row>
    <row r="2028" spans="2:9" x14ac:dyDescent="0.3">
      <c r="B2028" s="77">
        <v>43277</v>
      </c>
      <c r="C2028">
        <v>10769.15</v>
      </c>
      <c r="I2028" s="77"/>
    </row>
    <row r="2029" spans="2:9" x14ac:dyDescent="0.3">
      <c r="B2029" s="77">
        <v>43276</v>
      </c>
      <c r="C2029">
        <v>10762.45</v>
      </c>
      <c r="I2029" s="77"/>
    </row>
    <row r="2030" spans="2:9" x14ac:dyDescent="0.3">
      <c r="B2030" s="77">
        <v>43273</v>
      </c>
      <c r="C2030">
        <v>10821.85</v>
      </c>
      <c r="I2030" s="77"/>
    </row>
    <row r="2031" spans="2:9" x14ac:dyDescent="0.3">
      <c r="B2031" s="77">
        <v>43272</v>
      </c>
      <c r="C2031">
        <v>10741.1</v>
      </c>
      <c r="I2031" s="77"/>
    </row>
    <row r="2032" spans="2:9" x14ac:dyDescent="0.3">
      <c r="B2032" s="77">
        <v>43271</v>
      </c>
      <c r="C2032">
        <v>10772.05</v>
      </c>
      <c r="I2032" s="77"/>
    </row>
    <row r="2033" spans="2:9" x14ac:dyDescent="0.3">
      <c r="B2033" s="77">
        <v>43270</v>
      </c>
      <c r="C2033">
        <v>10710.45</v>
      </c>
      <c r="I2033" s="77"/>
    </row>
    <row r="2034" spans="2:9" x14ac:dyDescent="0.3">
      <c r="B2034" s="77">
        <v>43269</v>
      </c>
      <c r="C2034">
        <v>10799.85</v>
      </c>
      <c r="I2034" s="77"/>
    </row>
    <row r="2035" spans="2:9" x14ac:dyDescent="0.3">
      <c r="B2035" s="77">
        <v>43266</v>
      </c>
      <c r="C2035">
        <v>10817.7</v>
      </c>
      <c r="I2035" s="77"/>
    </row>
    <row r="2036" spans="2:9" x14ac:dyDescent="0.3">
      <c r="B2036" s="77">
        <v>43265</v>
      </c>
      <c r="C2036">
        <v>10808.05</v>
      </c>
      <c r="I2036" s="77"/>
    </row>
    <row r="2037" spans="2:9" x14ac:dyDescent="0.3">
      <c r="B2037" s="77">
        <v>43264</v>
      </c>
      <c r="C2037">
        <v>10856.7</v>
      </c>
      <c r="I2037" s="77"/>
    </row>
    <row r="2038" spans="2:9" x14ac:dyDescent="0.3">
      <c r="B2038" s="77">
        <v>43263</v>
      </c>
      <c r="C2038">
        <v>10842.85</v>
      </c>
      <c r="I2038" s="77"/>
    </row>
    <row r="2039" spans="2:9" x14ac:dyDescent="0.3">
      <c r="B2039" s="77">
        <v>43262</v>
      </c>
      <c r="C2039">
        <v>10786.95</v>
      </c>
      <c r="I2039" s="77"/>
    </row>
    <row r="2040" spans="2:9" x14ac:dyDescent="0.3">
      <c r="B2040" s="77">
        <v>43259</v>
      </c>
      <c r="C2040">
        <v>10767.65</v>
      </c>
      <c r="I2040" s="77"/>
    </row>
    <row r="2041" spans="2:9" x14ac:dyDescent="0.3">
      <c r="B2041" s="77">
        <v>43258</v>
      </c>
      <c r="C2041">
        <v>10768.35</v>
      </c>
      <c r="I2041" s="77"/>
    </row>
    <row r="2042" spans="2:9" x14ac:dyDescent="0.3">
      <c r="B2042" s="77">
        <v>43257</v>
      </c>
      <c r="C2042">
        <v>10684.65</v>
      </c>
      <c r="I2042" s="77"/>
    </row>
    <row r="2043" spans="2:9" x14ac:dyDescent="0.3">
      <c r="B2043" s="77">
        <v>43256</v>
      </c>
      <c r="C2043">
        <v>10593.15</v>
      </c>
      <c r="I2043" s="77"/>
    </row>
    <row r="2044" spans="2:9" x14ac:dyDescent="0.3">
      <c r="B2044" s="77">
        <v>43255</v>
      </c>
      <c r="C2044">
        <v>10628.5</v>
      </c>
      <c r="I2044" s="77"/>
    </row>
    <row r="2045" spans="2:9" x14ac:dyDescent="0.3">
      <c r="B2045" s="77">
        <v>43252</v>
      </c>
      <c r="C2045">
        <v>10696.2</v>
      </c>
      <c r="I2045" s="77"/>
    </row>
    <row r="2046" spans="2:9" x14ac:dyDescent="0.3">
      <c r="B2046" s="77">
        <v>43251</v>
      </c>
      <c r="C2046">
        <v>10736.15</v>
      </c>
      <c r="I2046" s="77"/>
    </row>
    <row r="2047" spans="2:9" x14ac:dyDescent="0.3">
      <c r="B2047" s="77">
        <v>43250</v>
      </c>
      <c r="C2047">
        <v>10614.35</v>
      </c>
      <c r="I2047" s="77"/>
    </row>
    <row r="2048" spans="2:9" x14ac:dyDescent="0.3">
      <c r="B2048" s="77">
        <v>43249</v>
      </c>
      <c r="C2048">
        <v>10633.3</v>
      </c>
      <c r="I2048" s="77"/>
    </row>
    <row r="2049" spans="2:9" x14ac:dyDescent="0.3">
      <c r="B2049" s="77">
        <v>43248</v>
      </c>
      <c r="C2049">
        <v>10688.65</v>
      </c>
      <c r="I2049" s="77"/>
    </row>
    <row r="2050" spans="2:9" x14ac:dyDescent="0.3">
      <c r="B2050" s="77">
        <v>43245</v>
      </c>
      <c r="C2050">
        <v>10605.15</v>
      </c>
      <c r="I2050" s="77"/>
    </row>
    <row r="2051" spans="2:9" x14ac:dyDescent="0.3">
      <c r="B2051" s="77">
        <v>43244</v>
      </c>
      <c r="C2051">
        <v>10513.85</v>
      </c>
      <c r="I2051" s="77"/>
    </row>
    <row r="2052" spans="2:9" x14ac:dyDescent="0.3">
      <c r="B2052" s="77">
        <v>43243</v>
      </c>
      <c r="C2052">
        <v>10430.35</v>
      </c>
      <c r="I2052" s="77"/>
    </row>
    <row r="2053" spans="2:9" x14ac:dyDescent="0.3">
      <c r="B2053" s="77">
        <v>43242</v>
      </c>
      <c r="C2053">
        <v>10536.7</v>
      </c>
      <c r="I2053" s="77"/>
    </row>
    <row r="2054" spans="2:9" x14ac:dyDescent="0.3">
      <c r="B2054" s="77">
        <v>43241</v>
      </c>
      <c r="C2054">
        <v>10516.7</v>
      </c>
      <c r="I2054" s="77"/>
    </row>
    <row r="2055" spans="2:9" x14ac:dyDescent="0.3">
      <c r="B2055" s="77">
        <v>43238</v>
      </c>
      <c r="C2055">
        <v>10596.4</v>
      </c>
      <c r="I2055" s="77"/>
    </row>
    <row r="2056" spans="2:9" x14ac:dyDescent="0.3">
      <c r="B2056" s="77">
        <v>43237</v>
      </c>
      <c r="C2056">
        <v>10682.7</v>
      </c>
      <c r="I2056" s="77"/>
    </row>
    <row r="2057" spans="2:9" x14ac:dyDescent="0.3">
      <c r="B2057" s="77">
        <v>43236</v>
      </c>
      <c r="C2057">
        <v>10741.1</v>
      </c>
      <c r="I2057" s="77"/>
    </row>
    <row r="2058" spans="2:9" x14ac:dyDescent="0.3">
      <c r="B2058" s="77">
        <v>43235</v>
      </c>
      <c r="C2058">
        <v>10801.85</v>
      </c>
      <c r="I2058" s="77"/>
    </row>
    <row r="2059" spans="2:9" x14ac:dyDescent="0.3">
      <c r="B2059" s="77">
        <v>43234</v>
      </c>
      <c r="C2059">
        <v>10806.6</v>
      </c>
      <c r="I2059" s="77"/>
    </row>
    <row r="2060" spans="2:9" x14ac:dyDescent="0.3">
      <c r="B2060" s="77">
        <v>43231</v>
      </c>
      <c r="C2060">
        <v>10806.5</v>
      </c>
      <c r="I2060" s="77"/>
    </row>
    <row r="2061" spans="2:9" x14ac:dyDescent="0.3">
      <c r="B2061" s="77">
        <v>43230</v>
      </c>
      <c r="C2061">
        <v>10716.55</v>
      </c>
      <c r="I2061" s="77"/>
    </row>
    <row r="2062" spans="2:9" x14ac:dyDescent="0.3">
      <c r="B2062" s="77">
        <v>43229</v>
      </c>
      <c r="C2062">
        <v>10741.7</v>
      </c>
      <c r="I2062" s="77"/>
    </row>
    <row r="2063" spans="2:9" x14ac:dyDescent="0.3">
      <c r="B2063" s="77">
        <v>43228</v>
      </c>
      <c r="C2063">
        <v>10717.8</v>
      </c>
      <c r="I2063" s="77"/>
    </row>
    <row r="2064" spans="2:9" x14ac:dyDescent="0.3">
      <c r="B2064" s="77">
        <v>43227</v>
      </c>
      <c r="C2064">
        <v>10715.5</v>
      </c>
      <c r="I2064" s="77"/>
    </row>
    <row r="2065" spans="2:9" x14ac:dyDescent="0.3">
      <c r="B2065" s="77">
        <v>43224</v>
      </c>
      <c r="C2065">
        <v>10618.25</v>
      </c>
      <c r="I2065" s="77"/>
    </row>
    <row r="2066" spans="2:9" x14ac:dyDescent="0.3">
      <c r="B2066" s="77">
        <v>43223</v>
      </c>
      <c r="C2066">
        <v>10679.65</v>
      </c>
      <c r="I2066" s="77"/>
    </row>
    <row r="2067" spans="2:9" x14ac:dyDescent="0.3">
      <c r="B2067" s="77">
        <v>43222</v>
      </c>
      <c r="C2067">
        <v>10718.05</v>
      </c>
      <c r="I2067" s="77"/>
    </row>
    <row r="2068" spans="2:9" x14ac:dyDescent="0.3">
      <c r="B2068" s="77">
        <v>43220</v>
      </c>
      <c r="C2068">
        <v>10739.35</v>
      </c>
      <c r="I2068" s="77"/>
    </row>
    <row r="2069" spans="2:9" x14ac:dyDescent="0.3">
      <c r="B2069" s="77">
        <v>43217</v>
      </c>
      <c r="C2069">
        <v>10692.3</v>
      </c>
      <c r="I2069" s="77"/>
    </row>
    <row r="2070" spans="2:9" x14ac:dyDescent="0.3">
      <c r="B2070" s="77">
        <v>43216</v>
      </c>
      <c r="C2070">
        <v>10617.8</v>
      </c>
      <c r="I2070" s="77"/>
    </row>
    <row r="2071" spans="2:9" x14ac:dyDescent="0.3">
      <c r="B2071" s="77">
        <v>43215</v>
      </c>
      <c r="C2071">
        <v>10570.55</v>
      </c>
      <c r="I2071" s="77"/>
    </row>
    <row r="2072" spans="2:9" x14ac:dyDescent="0.3">
      <c r="B2072" s="77">
        <v>43214</v>
      </c>
      <c r="C2072">
        <v>10614.35</v>
      </c>
      <c r="I2072" s="77"/>
    </row>
    <row r="2073" spans="2:9" x14ac:dyDescent="0.3">
      <c r="B2073" s="77">
        <v>43213</v>
      </c>
      <c r="C2073">
        <v>10584.7</v>
      </c>
      <c r="I2073" s="77"/>
    </row>
    <row r="2074" spans="2:9" x14ac:dyDescent="0.3">
      <c r="B2074" s="77">
        <v>43210</v>
      </c>
      <c r="C2074">
        <v>10564.05</v>
      </c>
      <c r="I2074" s="77"/>
    </row>
    <row r="2075" spans="2:9" x14ac:dyDescent="0.3">
      <c r="B2075" s="77">
        <v>43209</v>
      </c>
      <c r="C2075">
        <v>10565.3</v>
      </c>
      <c r="I2075" s="77"/>
    </row>
    <row r="2076" spans="2:9" x14ac:dyDescent="0.3">
      <c r="B2076" s="77">
        <v>43208</v>
      </c>
      <c r="C2076">
        <v>10526.2</v>
      </c>
      <c r="I2076" s="77"/>
    </row>
    <row r="2077" spans="2:9" x14ac:dyDescent="0.3">
      <c r="B2077" s="77">
        <v>43207</v>
      </c>
      <c r="C2077">
        <v>10548.7</v>
      </c>
      <c r="I2077" s="77"/>
    </row>
    <row r="2078" spans="2:9" x14ac:dyDescent="0.3">
      <c r="B2078" s="77">
        <v>43206</v>
      </c>
      <c r="C2078">
        <v>10528.35</v>
      </c>
      <c r="I2078" s="77"/>
    </row>
    <row r="2079" spans="2:9" x14ac:dyDescent="0.3">
      <c r="B2079" s="77">
        <v>43203</v>
      </c>
      <c r="C2079">
        <v>10480.6</v>
      </c>
      <c r="I2079" s="77"/>
    </row>
    <row r="2080" spans="2:9" x14ac:dyDescent="0.3">
      <c r="B2080" s="77">
        <v>43202</v>
      </c>
      <c r="C2080">
        <v>10458.65</v>
      </c>
      <c r="I2080" s="77"/>
    </row>
    <row r="2081" spans="2:9" x14ac:dyDescent="0.3">
      <c r="B2081" s="77">
        <v>43201</v>
      </c>
      <c r="C2081">
        <v>10417.15</v>
      </c>
      <c r="I2081" s="77"/>
    </row>
    <row r="2082" spans="2:9" x14ac:dyDescent="0.3">
      <c r="B2082" s="77">
        <v>43200</v>
      </c>
      <c r="C2082">
        <v>10402.25</v>
      </c>
      <c r="I2082" s="77"/>
    </row>
    <row r="2083" spans="2:9" x14ac:dyDescent="0.3">
      <c r="B2083" s="77">
        <v>43199</v>
      </c>
      <c r="C2083">
        <v>10379.35</v>
      </c>
      <c r="I2083" s="77"/>
    </row>
    <row r="2084" spans="2:9" x14ac:dyDescent="0.3">
      <c r="B2084" s="77">
        <v>43196</v>
      </c>
      <c r="C2084">
        <v>10331.6</v>
      </c>
      <c r="I2084" s="77"/>
    </row>
    <row r="2085" spans="2:9" x14ac:dyDescent="0.3">
      <c r="B2085" s="77">
        <v>43195</v>
      </c>
      <c r="C2085">
        <v>10325.15</v>
      </c>
      <c r="I2085" s="77"/>
    </row>
    <row r="2086" spans="2:9" x14ac:dyDescent="0.3">
      <c r="B2086" s="77">
        <v>43194</v>
      </c>
      <c r="C2086">
        <v>10128.4</v>
      </c>
      <c r="I2086" s="77"/>
    </row>
    <row r="2087" spans="2:9" x14ac:dyDescent="0.3">
      <c r="B2087" s="77">
        <v>43193</v>
      </c>
      <c r="C2087">
        <v>10245</v>
      </c>
      <c r="I2087" s="77"/>
    </row>
    <row r="2088" spans="2:9" x14ac:dyDescent="0.3">
      <c r="B2088" s="77">
        <v>43192</v>
      </c>
      <c r="C2088">
        <v>10211.799999999999</v>
      </c>
      <c r="I2088" s="77"/>
    </row>
    <row r="2089" spans="2:9" x14ac:dyDescent="0.3">
      <c r="B2089" s="77">
        <v>43187</v>
      </c>
      <c r="C2089">
        <v>10113.700000000001</v>
      </c>
      <c r="I2089" s="77"/>
    </row>
    <row r="2090" spans="2:9" x14ac:dyDescent="0.3">
      <c r="B2090" s="77">
        <v>43186</v>
      </c>
      <c r="C2090">
        <v>10184.15</v>
      </c>
      <c r="I2090" s="77"/>
    </row>
    <row r="2091" spans="2:9" x14ac:dyDescent="0.3">
      <c r="B2091" s="77">
        <v>43185</v>
      </c>
      <c r="C2091">
        <v>10130.65</v>
      </c>
      <c r="I2091" s="77"/>
    </row>
    <row r="2092" spans="2:9" x14ac:dyDescent="0.3">
      <c r="B2092" s="77">
        <v>43182</v>
      </c>
      <c r="C2092">
        <v>9998.0499999999993</v>
      </c>
      <c r="I2092" s="77"/>
    </row>
    <row r="2093" spans="2:9" x14ac:dyDescent="0.3">
      <c r="B2093" s="77">
        <v>43181</v>
      </c>
      <c r="C2093">
        <v>10114.75</v>
      </c>
      <c r="I2093" s="77"/>
    </row>
    <row r="2094" spans="2:9" x14ac:dyDescent="0.3">
      <c r="B2094" s="77">
        <v>43180</v>
      </c>
      <c r="C2094">
        <v>10155.25</v>
      </c>
      <c r="I2094" s="77"/>
    </row>
    <row r="2095" spans="2:9" x14ac:dyDescent="0.3">
      <c r="B2095" s="77">
        <v>43179</v>
      </c>
      <c r="C2095">
        <v>10124.35</v>
      </c>
      <c r="I2095" s="77"/>
    </row>
    <row r="2096" spans="2:9" x14ac:dyDescent="0.3">
      <c r="B2096" s="77">
        <v>43178</v>
      </c>
      <c r="C2096">
        <v>10094.25</v>
      </c>
      <c r="I2096" s="77"/>
    </row>
    <row r="2097" spans="2:9" x14ac:dyDescent="0.3">
      <c r="B2097" s="77">
        <v>43175</v>
      </c>
      <c r="C2097">
        <v>10195.15</v>
      </c>
      <c r="I2097" s="77"/>
    </row>
    <row r="2098" spans="2:9" x14ac:dyDescent="0.3">
      <c r="B2098" s="77">
        <v>43174</v>
      </c>
      <c r="C2098">
        <v>10360.15</v>
      </c>
      <c r="I2098" s="77"/>
    </row>
    <row r="2099" spans="2:9" x14ac:dyDescent="0.3">
      <c r="B2099" s="77">
        <v>43173</v>
      </c>
      <c r="C2099">
        <v>10410.9</v>
      </c>
      <c r="I2099" s="77"/>
    </row>
    <row r="2100" spans="2:9" x14ac:dyDescent="0.3">
      <c r="B2100" s="77">
        <v>43172</v>
      </c>
      <c r="C2100">
        <v>10426.85</v>
      </c>
      <c r="I2100" s="77"/>
    </row>
    <row r="2101" spans="2:9" x14ac:dyDescent="0.3">
      <c r="B2101" s="77">
        <v>43171</v>
      </c>
      <c r="C2101">
        <v>10421.4</v>
      </c>
      <c r="I2101" s="77"/>
    </row>
    <row r="2102" spans="2:9" x14ac:dyDescent="0.3">
      <c r="B2102" s="77">
        <v>43168</v>
      </c>
      <c r="C2102">
        <v>10226.85</v>
      </c>
      <c r="I2102" s="77"/>
    </row>
    <row r="2103" spans="2:9" x14ac:dyDescent="0.3">
      <c r="B2103" s="77">
        <v>43167</v>
      </c>
      <c r="C2103">
        <v>10242.65</v>
      </c>
      <c r="I2103" s="77"/>
    </row>
    <row r="2104" spans="2:9" x14ac:dyDescent="0.3">
      <c r="B2104" s="77">
        <v>43166</v>
      </c>
      <c r="C2104">
        <v>10154.200000000001</v>
      </c>
      <c r="I2104" s="77"/>
    </row>
    <row r="2105" spans="2:9" x14ac:dyDescent="0.3">
      <c r="B2105" s="77">
        <v>43165</v>
      </c>
      <c r="C2105">
        <v>10249.25</v>
      </c>
      <c r="I2105" s="77"/>
    </row>
    <row r="2106" spans="2:9" x14ac:dyDescent="0.3">
      <c r="B2106" s="77">
        <v>43164</v>
      </c>
      <c r="C2106">
        <v>10358.85</v>
      </c>
      <c r="I2106" s="77"/>
    </row>
    <row r="2107" spans="2:9" x14ac:dyDescent="0.3">
      <c r="B2107" s="77">
        <v>43160</v>
      </c>
      <c r="C2107">
        <v>10458.35</v>
      </c>
      <c r="I2107" s="77"/>
    </row>
    <row r="2108" spans="2:9" x14ac:dyDescent="0.3">
      <c r="B2108" s="77">
        <v>43159</v>
      </c>
      <c r="C2108">
        <v>10492.85</v>
      </c>
      <c r="I2108" s="77"/>
    </row>
    <row r="2109" spans="2:9" x14ac:dyDescent="0.3">
      <c r="B2109" s="77">
        <v>43158</v>
      </c>
      <c r="C2109">
        <v>10554.3</v>
      </c>
      <c r="I2109" s="77"/>
    </row>
    <row r="2110" spans="2:9" x14ac:dyDescent="0.3">
      <c r="B2110" s="77">
        <v>43157</v>
      </c>
      <c r="C2110">
        <v>10582.6</v>
      </c>
      <c r="I2110" s="77"/>
    </row>
    <row r="2111" spans="2:9" x14ac:dyDescent="0.3">
      <c r="B2111" s="77">
        <v>43154</v>
      </c>
      <c r="C2111">
        <v>10491.05</v>
      </c>
      <c r="I2111" s="77"/>
    </row>
    <row r="2112" spans="2:9" x14ac:dyDescent="0.3">
      <c r="B2112" s="77">
        <v>43153</v>
      </c>
      <c r="C2112">
        <v>10382.700000000001</v>
      </c>
      <c r="I2112" s="77"/>
    </row>
    <row r="2113" spans="2:9" x14ac:dyDescent="0.3">
      <c r="B2113" s="77">
        <v>43152</v>
      </c>
      <c r="C2113">
        <v>10397.450000000001</v>
      </c>
      <c r="I2113" s="77"/>
    </row>
    <row r="2114" spans="2:9" x14ac:dyDescent="0.3">
      <c r="B2114" s="77">
        <v>43151</v>
      </c>
      <c r="C2114">
        <v>10360.4</v>
      </c>
      <c r="I2114" s="77"/>
    </row>
    <row r="2115" spans="2:9" x14ac:dyDescent="0.3">
      <c r="B2115" s="77">
        <v>43150</v>
      </c>
      <c r="C2115">
        <v>10378.4</v>
      </c>
      <c r="I2115" s="77"/>
    </row>
    <row r="2116" spans="2:9" x14ac:dyDescent="0.3">
      <c r="B2116" s="77">
        <v>43147</v>
      </c>
      <c r="C2116">
        <v>10452.299999999999</v>
      </c>
      <c r="I2116" s="77"/>
    </row>
    <row r="2117" spans="2:9" x14ac:dyDescent="0.3">
      <c r="B2117" s="77">
        <v>43146</v>
      </c>
      <c r="C2117">
        <v>10545.5</v>
      </c>
      <c r="I2117" s="77"/>
    </row>
    <row r="2118" spans="2:9" x14ac:dyDescent="0.3">
      <c r="B2118" s="77">
        <v>43145</v>
      </c>
      <c r="C2118">
        <v>10500.9</v>
      </c>
      <c r="I2118" s="77"/>
    </row>
    <row r="2119" spans="2:9" x14ac:dyDescent="0.3">
      <c r="B2119" s="77">
        <v>43143</v>
      </c>
      <c r="C2119">
        <v>10539.75</v>
      </c>
      <c r="I2119" s="77"/>
    </row>
    <row r="2120" spans="2:9" x14ac:dyDescent="0.3">
      <c r="B2120" s="77">
        <v>43140</v>
      </c>
      <c r="C2120">
        <v>10454.950000000001</v>
      </c>
      <c r="I2120" s="77"/>
    </row>
    <row r="2121" spans="2:9" x14ac:dyDescent="0.3">
      <c r="B2121" s="77">
        <v>43139</v>
      </c>
      <c r="C2121">
        <v>10576.85</v>
      </c>
      <c r="I2121" s="77"/>
    </row>
    <row r="2122" spans="2:9" x14ac:dyDescent="0.3">
      <c r="B2122" s="77">
        <v>43138</v>
      </c>
      <c r="C2122">
        <v>10476.700000000001</v>
      </c>
      <c r="I2122" s="77"/>
    </row>
    <row r="2123" spans="2:9" x14ac:dyDescent="0.3">
      <c r="B2123" s="77">
        <v>43137</v>
      </c>
      <c r="C2123">
        <v>10498.25</v>
      </c>
      <c r="I2123" s="77"/>
    </row>
    <row r="2124" spans="2:9" x14ac:dyDescent="0.3">
      <c r="B2124" s="77">
        <v>43136</v>
      </c>
      <c r="C2124">
        <v>10666.55</v>
      </c>
      <c r="I2124" s="77"/>
    </row>
    <row r="2125" spans="2:9" x14ac:dyDescent="0.3">
      <c r="B2125" s="77">
        <v>43133</v>
      </c>
      <c r="C2125">
        <v>10760.6</v>
      </c>
      <c r="I2125" s="77"/>
    </row>
    <row r="2126" spans="2:9" x14ac:dyDescent="0.3">
      <c r="B2126" s="77">
        <v>43132</v>
      </c>
      <c r="C2126">
        <v>11016.9</v>
      </c>
      <c r="I2126" s="77"/>
    </row>
    <row r="2127" spans="2:9" x14ac:dyDescent="0.3">
      <c r="B2127" s="77">
        <v>43131</v>
      </c>
      <c r="C2127">
        <v>11027.7</v>
      </c>
      <c r="I2127" s="77"/>
    </row>
    <row r="2128" spans="2:9" x14ac:dyDescent="0.3">
      <c r="B2128" s="77">
        <v>43130</v>
      </c>
      <c r="C2128">
        <v>11049.65</v>
      </c>
      <c r="I2128" s="77"/>
    </row>
    <row r="2129" spans="2:9" x14ac:dyDescent="0.3">
      <c r="B2129" s="77">
        <v>43129</v>
      </c>
      <c r="C2129">
        <v>11130.4</v>
      </c>
      <c r="I2129" s="77"/>
    </row>
    <row r="2130" spans="2:9" x14ac:dyDescent="0.3">
      <c r="B2130" s="77">
        <v>43125</v>
      </c>
      <c r="C2130">
        <v>11069.65</v>
      </c>
      <c r="I2130" s="77"/>
    </row>
    <row r="2131" spans="2:9" x14ac:dyDescent="0.3">
      <c r="B2131" s="77">
        <v>43124</v>
      </c>
      <c r="C2131">
        <v>11086</v>
      </c>
      <c r="I2131" s="77"/>
    </row>
    <row r="2132" spans="2:9" x14ac:dyDescent="0.3">
      <c r="B2132" s="77">
        <v>43123</v>
      </c>
      <c r="C2132">
        <v>11083.7</v>
      </c>
      <c r="I2132" s="77"/>
    </row>
    <row r="2133" spans="2:9" x14ac:dyDescent="0.3">
      <c r="B2133" s="77">
        <v>43122</v>
      </c>
      <c r="C2133">
        <v>10966.2</v>
      </c>
      <c r="I2133" s="77"/>
    </row>
    <row r="2134" spans="2:9" x14ac:dyDescent="0.3">
      <c r="B2134" s="77">
        <v>43119</v>
      </c>
      <c r="C2134">
        <v>10894.7</v>
      </c>
      <c r="I2134" s="77"/>
    </row>
    <row r="2135" spans="2:9" x14ac:dyDescent="0.3">
      <c r="B2135" s="77">
        <v>43118</v>
      </c>
      <c r="C2135">
        <v>10817</v>
      </c>
      <c r="I2135" s="77"/>
    </row>
    <row r="2136" spans="2:9" x14ac:dyDescent="0.3">
      <c r="B2136" s="77">
        <v>43117</v>
      </c>
      <c r="C2136">
        <v>10788.55</v>
      </c>
      <c r="I2136" s="77"/>
    </row>
    <row r="2137" spans="2:9" x14ac:dyDescent="0.3">
      <c r="B2137" s="77">
        <v>43116</v>
      </c>
      <c r="C2137">
        <v>10700.45</v>
      </c>
      <c r="I2137" s="77"/>
    </row>
    <row r="2138" spans="2:9" x14ac:dyDescent="0.3">
      <c r="B2138" s="77">
        <v>43115</v>
      </c>
      <c r="C2138">
        <v>10741.55</v>
      </c>
      <c r="I2138" s="77"/>
    </row>
    <row r="2139" spans="2:9" x14ac:dyDescent="0.3">
      <c r="B2139" s="77">
        <v>43112</v>
      </c>
      <c r="C2139">
        <v>10681.25</v>
      </c>
      <c r="I2139" s="77"/>
    </row>
    <row r="2140" spans="2:9" x14ac:dyDescent="0.3">
      <c r="B2140" s="77">
        <v>43111</v>
      </c>
      <c r="C2140">
        <v>10651.2</v>
      </c>
      <c r="I2140" s="77"/>
    </row>
    <row r="2141" spans="2:9" x14ac:dyDescent="0.3">
      <c r="B2141" s="77">
        <v>43110</v>
      </c>
      <c r="C2141">
        <v>10632.2</v>
      </c>
      <c r="I2141" s="77"/>
    </row>
    <row r="2142" spans="2:9" x14ac:dyDescent="0.3">
      <c r="B2142" s="77">
        <v>43109</v>
      </c>
      <c r="C2142">
        <v>10637</v>
      </c>
      <c r="I2142" s="77"/>
    </row>
    <row r="2143" spans="2:9" x14ac:dyDescent="0.3">
      <c r="B2143" s="77">
        <v>43108</v>
      </c>
      <c r="C2143">
        <v>10623.6</v>
      </c>
      <c r="I2143" s="77"/>
    </row>
    <row r="2144" spans="2:9" x14ac:dyDescent="0.3">
      <c r="B2144" s="77">
        <v>43105</v>
      </c>
      <c r="C2144">
        <v>10558.85</v>
      </c>
      <c r="I2144" s="77"/>
    </row>
    <row r="2145" spans="2:9" x14ac:dyDescent="0.3">
      <c r="B2145" s="77">
        <v>43104</v>
      </c>
      <c r="C2145">
        <v>10504.8</v>
      </c>
      <c r="I2145" s="77"/>
    </row>
    <row r="2146" spans="2:9" x14ac:dyDescent="0.3">
      <c r="B2146" s="77">
        <v>43103</v>
      </c>
      <c r="C2146">
        <v>10443.200000000001</v>
      </c>
      <c r="I2146" s="77"/>
    </row>
    <row r="2147" spans="2:9" x14ac:dyDescent="0.3">
      <c r="B2147" s="77">
        <v>43102</v>
      </c>
      <c r="C2147">
        <v>10442.200000000001</v>
      </c>
      <c r="I2147" s="77"/>
    </row>
    <row r="2148" spans="2:9" x14ac:dyDescent="0.3">
      <c r="B2148" s="77">
        <v>43101</v>
      </c>
      <c r="C2148">
        <v>10435.549999999999</v>
      </c>
      <c r="I2148" s="77"/>
    </row>
    <row r="2149" spans="2:9" x14ac:dyDescent="0.3">
      <c r="B2149" s="77">
        <v>43098</v>
      </c>
      <c r="C2149">
        <v>10530.7</v>
      </c>
      <c r="I2149" s="77"/>
    </row>
    <row r="2150" spans="2:9" x14ac:dyDescent="0.3">
      <c r="B2150" s="77">
        <v>43097</v>
      </c>
      <c r="C2150">
        <v>10477.9</v>
      </c>
      <c r="I2150" s="77"/>
    </row>
    <row r="2151" spans="2:9" x14ac:dyDescent="0.3">
      <c r="B2151" s="77">
        <v>43096</v>
      </c>
      <c r="C2151">
        <v>10490.75</v>
      </c>
      <c r="I2151" s="77"/>
    </row>
    <row r="2152" spans="2:9" x14ac:dyDescent="0.3">
      <c r="B2152" s="77">
        <v>43095</v>
      </c>
      <c r="C2152">
        <v>10531.5</v>
      </c>
      <c r="I2152" s="77"/>
    </row>
    <row r="2153" spans="2:9" x14ac:dyDescent="0.3">
      <c r="B2153" s="77">
        <v>43091</v>
      </c>
      <c r="C2153">
        <v>10493</v>
      </c>
      <c r="I2153" s="77"/>
    </row>
    <row r="2154" spans="2:9" x14ac:dyDescent="0.3">
      <c r="B2154" s="77">
        <v>43090</v>
      </c>
      <c r="C2154">
        <v>10440.299999999999</v>
      </c>
      <c r="I2154" s="77"/>
    </row>
    <row r="2155" spans="2:9" x14ac:dyDescent="0.3">
      <c r="B2155" s="77">
        <v>43089</v>
      </c>
      <c r="C2155">
        <v>10444.200000000001</v>
      </c>
      <c r="I2155" s="77"/>
    </row>
    <row r="2156" spans="2:9" x14ac:dyDescent="0.3">
      <c r="B2156" s="77">
        <v>43088</v>
      </c>
      <c r="C2156">
        <v>10463.200000000001</v>
      </c>
      <c r="I2156" s="77"/>
    </row>
    <row r="2157" spans="2:9" x14ac:dyDescent="0.3">
      <c r="B2157" s="77">
        <v>43087</v>
      </c>
      <c r="C2157">
        <v>10388.75</v>
      </c>
      <c r="I2157" s="77"/>
    </row>
    <row r="2158" spans="2:9" x14ac:dyDescent="0.3">
      <c r="B2158" s="77">
        <v>43084</v>
      </c>
      <c r="C2158">
        <v>10333.25</v>
      </c>
      <c r="I2158" s="77"/>
    </row>
    <row r="2159" spans="2:9" x14ac:dyDescent="0.3">
      <c r="B2159" s="77">
        <v>43083</v>
      </c>
      <c r="C2159">
        <v>10252.1</v>
      </c>
      <c r="I2159" s="77"/>
    </row>
    <row r="2160" spans="2:9" x14ac:dyDescent="0.3">
      <c r="B2160" s="77">
        <v>43082</v>
      </c>
      <c r="C2160">
        <v>10192.950000000001</v>
      </c>
      <c r="I2160" s="77"/>
    </row>
    <row r="2161" spans="2:9" x14ac:dyDescent="0.3">
      <c r="B2161" s="77">
        <v>43081</v>
      </c>
      <c r="C2161">
        <v>10240.15</v>
      </c>
      <c r="I2161" s="77"/>
    </row>
    <row r="2162" spans="2:9" x14ac:dyDescent="0.3">
      <c r="B2162" s="77">
        <v>43080</v>
      </c>
      <c r="C2162">
        <v>10322.25</v>
      </c>
      <c r="I2162" s="77"/>
    </row>
    <row r="2163" spans="2:9" x14ac:dyDescent="0.3">
      <c r="B2163" s="77">
        <v>43077</v>
      </c>
      <c r="C2163">
        <v>10265.65</v>
      </c>
      <c r="I2163" s="77"/>
    </row>
    <row r="2164" spans="2:9" x14ac:dyDescent="0.3">
      <c r="B2164" s="77">
        <v>43076</v>
      </c>
      <c r="C2164">
        <v>10166.700000000001</v>
      </c>
      <c r="I2164" s="77"/>
    </row>
    <row r="2165" spans="2:9" x14ac:dyDescent="0.3">
      <c r="B2165" s="77">
        <v>43075</v>
      </c>
      <c r="C2165">
        <v>10044.1</v>
      </c>
      <c r="I2165" s="77"/>
    </row>
    <row r="2166" spans="2:9" x14ac:dyDescent="0.3">
      <c r="B2166" s="77">
        <v>43074</v>
      </c>
      <c r="C2166">
        <v>10118.25</v>
      </c>
      <c r="I2166" s="77"/>
    </row>
    <row r="2167" spans="2:9" x14ac:dyDescent="0.3">
      <c r="B2167" s="77">
        <v>43073</v>
      </c>
      <c r="C2167">
        <v>10127.75</v>
      </c>
      <c r="I2167" s="77"/>
    </row>
    <row r="2168" spans="2:9" x14ac:dyDescent="0.3">
      <c r="B2168" s="77">
        <v>43070</v>
      </c>
      <c r="C2168">
        <v>10121.799999999999</v>
      </c>
      <c r="I2168" s="77"/>
    </row>
    <row r="2169" spans="2:9" x14ac:dyDescent="0.3">
      <c r="B2169" s="77">
        <v>43069</v>
      </c>
      <c r="C2169">
        <v>10226.549999999999</v>
      </c>
      <c r="I2169" s="77"/>
    </row>
    <row r="2170" spans="2:9" x14ac:dyDescent="0.3">
      <c r="B2170" s="77">
        <v>43068</v>
      </c>
      <c r="C2170">
        <v>10361.299999999999</v>
      </c>
      <c r="I2170" s="77"/>
    </row>
    <row r="2171" spans="2:9" x14ac:dyDescent="0.3">
      <c r="B2171" s="77">
        <v>43067</v>
      </c>
      <c r="C2171">
        <v>10370.25</v>
      </c>
      <c r="I2171" s="77"/>
    </row>
    <row r="2172" spans="2:9" x14ac:dyDescent="0.3">
      <c r="B2172" s="77">
        <v>43066</v>
      </c>
      <c r="C2172">
        <v>10399.549999999999</v>
      </c>
      <c r="I2172" s="77"/>
    </row>
    <row r="2173" spans="2:9" x14ac:dyDescent="0.3">
      <c r="B2173" s="77">
        <v>43063</v>
      </c>
      <c r="C2173">
        <v>10389.700000000001</v>
      </c>
      <c r="I2173" s="77"/>
    </row>
    <row r="2174" spans="2:9" x14ac:dyDescent="0.3">
      <c r="B2174" s="77">
        <v>43062</v>
      </c>
      <c r="C2174">
        <v>10348.75</v>
      </c>
      <c r="I2174" s="77"/>
    </row>
    <row r="2175" spans="2:9" x14ac:dyDescent="0.3">
      <c r="B2175" s="77">
        <v>43061</v>
      </c>
      <c r="C2175">
        <v>10342.299999999999</v>
      </c>
      <c r="I2175" s="77"/>
    </row>
    <row r="2176" spans="2:9" x14ac:dyDescent="0.3">
      <c r="B2176" s="77">
        <v>43060</v>
      </c>
      <c r="C2176">
        <v>10326.9</v>
      </c>
      <c r="I2176" s="77"/>
    </row>
    <row r="2177" spans="2:9" x14ac:dyDescent="0.3">
      <c r="B2177" s="77">
        <v>43059</v>
      </c>
      <c r="C2177">
        <v>10298.75</v>
      </c>
      <c r="I2177" s="77"/>
    </row>
    <row r="2178" spans="2:9" x14ac:dyDescent="0.3">
      <c r="B2178" s="77">
        <v>43056</v>
      </c>
      <c r="C2178">
        <v>10283.6</v>
      </c>
      <c r="I2178" s="77"/>
    </row>
    <row r="2179" spans="2:9" x14ac:dyDescent="0.3">
      <c r="B2179" s="77">
        <v>43055</v>
      </c>
      <c r="C2179">
        <v>10214.75</v>
      </c>
      <c r="I2179" s="77"/>
    </row>
    <row r="2180" spans="2:9" x14ac:dyDescent="0.3">
      <c r="B2180" s="77">
        <v>43054</v>
      </c>
      <c r="C2180">
        <v>10118.049999999999</v>
      </c>
      <c r="I2180" s="77"/>
    </row>
    <row r="2181" spans="2:9" x14ac:dyDescent="0.3">
      <c r="B2181" s="77">
        <v>43053</v>
      </c>
      <c r="C2181">
        <v>10186.6</v>
      </c>
      <c r="I2181" s="77"/>
    </row>
    <row r="2182" spans="2:9" x14ac:dyDescent="0.3">
      <c r="B2182" s="77">
        <v>43052</v>
      </c>
      <c r="C2182">
        <v>10224.950000000001</v>
      </c>
      <c r="I2182" s="77"/>
    </row>
    <row r="2183" spans="2:9" x14ac:dyDescent="0.3">
      <c r="B2183" s="77">
        <v>43049</v>
      </c>
      <c r="C2183">
        <v>10321.75</v>
      </c>
      <c r="I2183" s="77"/>
    </row>
    <row r="2184" spans="2:9" x14ac:dyDescent="0.3">
      <c r="B2184" s="77">
        <v>43048</v>
      </c>
      <c r="C2184">
        <v>10308.950000000001</v>
      </c>
      <c r="I2184" s="77"/>
    </row>
    <row r="2185" spans="2:9" x14ac:dyDescent="0.3">
      <c r="B2185" s="77">
        <v>43047</v>
      </c>
      <c r="C2185">
        <v>10303.15</v>
      </c>
      <c r="I2185" s="77"/>
    </row>
    <row r="2186" spans="2:9" x14ac:dyDescent="0.3">
      <c r="B2186" s="77">
        <v>43046</v>
      </c>
      <c r="C2186">
        <v>10350.15</v>
      </c>
      <c r="I2186" s="77"/>
    </row>
    <row r="2187" spans="2:9" x14ac:dyDescent="0.3">
      <c r="B2187" s="77">
        <v>43045</v>
      </c>
      <c r="C2187">
        <v>10451.799999999999</v>
      </c>
      <c r="I2187" s="77"/>
    </row>
    <row r="2188" spans="2:9" x14ac:dyDescent="0.3">
      <c r="B2188" s="77">
        <v>43042</v>
      </c>
      <c r="C2188">
        <v>10452.5</v>
      </c>
      <c r="I2188" s="77"/>
    </row>
    <row r="2189" spans="2:9" x14ac:dyDescent="0.3">
      <c r="B2189" s="77">
        <v>43041</v>
      </c>
      <c r="C2189">
        <v>10423.799999999999</v>
      </c>
      <c r="I2189" s="77"/>
    </row>
    <row r="2190" spans="2:9" x14ac:dyDescent="0.3">
      <c r="B2190" s="77">
        <v>43040</v>
      </c>
      <c r="C2190">
        <v>10440.5</v>
      </c>
      <c r="I2190" s="77"/>
    </row>
    <row r="2191" spans="2:9" x14ac:dyDescent="0.3">
      <c r="B2191" s="77">
        <v>43039</v>
      </c>
      <c r="C2191">
        <v>10335.299999999999</v>
      </c>
      <c r="I2191" s="77"/>
    </row>
    <row r="2192" spans="2:9" x14ac:dyDescent="0.3">
      <c r="B2192" s="77">
        <v>43038</v>
      </c>
      <c r="C2192">
        <v>10363.65</v>
      </c>
      <c r="I2192" s="77"/>
    </row>
    <row r="2193" spans="2:9" x14ac:dyDescent="0.3">
      <c r="B2193" s="77">
        <v>43035</v>
      </c>
      <c r="C2193">
        <v>10323.049999999999</v>
      </c>
      <c r="I2193" s="77"/>
    </row>
    <row r="2194" spans="2:9" x14ac:dyDescent="0.3">
      <c r="B2194" s="77">
        <v>43034</v>
      </c>
      <c r="C2194">
        <v>10343.799999999999</v>
      </c>
      <c r="I2194" s="77"/>
    </row>
    <row r="2195" spans="2:9" x14ac:dyDescent="0.3">
      <c r="B2195" s="77">
        <v>43033</v>
      </c>
      <c r="C2195">
        <v>10295.35</v>
      </c>
      <c r="I2195" s="77"/>
    </row>
    <row r="2196" spans="2:9" x14ac:dyDescent="0.3">
      <c r="B2196" s="77">
        <v>43032</v>
      </c>
      <c r="C2196">
        <v>10207.700000000001</v>
      </c>
      <c r="I2196" s="77"/>
    </row>
    <row r="2197" spans="2:9" x14ac:dyDescent="0.3">
      <c r="B2197" s="77">
        <v>43031</v>
      </c>
      <c r="C2197">
        <v>10184.85</v>
      </c>
      <c r="I2197" s="77"/>
    </row>
    <row r="2198" spans="2:9" x14ac:dyDescent="0.3">
      <c r="B2198" s="77">
        <v>43027</v>
      </c>
      <c r="C2198">
        <v>10146.549999999999</v>
      </c>
      <c r="I2198" s="77"/>
    </row>
    <row r="2199" spans="2:9" x14ac:dyDescent="0.3">
      <c r="B2199" s="77">
        <v>43026</v>
      </c>
      <c r="C2199">
        <v>10210.85</v>
      </c>
      <c r="I2199" s="77"/>
    </row>
    <row r="2200" spans="2:9" x14ac:dyDescent="0.3">
      <c r="B2200" s="77">
        <v>43025</v>
      </c>
      <c r="C2200">
        <v>10234.450000000001</v>
      </c>
      <c r="I2200" s="77"/>
    </row>
    <row r="2201" spans="2:9" x14ac:dyDescent="0.3">
      <c r="B2201" s="77">
        <v>43024</v>
      </c>
      <c r="C2201">
        <v>10230.85</v>
      </c>
      <c r="I2201" s="77"/>
    </row>
    <row r="2202" spans="2:9" x14ac:dyDescent="0.3">
      <c r="B2202" s="77">
        <v>43021</v>
      </c>
      <c r="C2202">
        <v>10167.450000000001</v>
      </c>
      <c r="I2202" s="77"/>
    </row>
    <row r="2203" spans="2:9" x14ac:dyDescent="0.3">
      <c r="B2203" s="77">
        <v>43020</v>
      </c>
      <c r="C2203">
        <v>10096.4</v>
      </c>
      <c r="I2203" s="77"/>
    </row>
    <row r="2204" spans="2:9" x14ac:dyDescent="0.3">
      <c r="B2204" s="77">
        <v>43019</v>
      </c>
      <c r="C2204">
        <v>9984.7999999999993</v>
      </c>
      <c r="I2204" s="77"/>
    </row>
    <row r="2205" spans="2:9" x14ac:dyDescent="0.3">
      <c r="B2205" s="77">
        <v>43018</v>
      </c>
      <c r="C2205">
        <v>10016.950000000001</v>
      </c>
      <c r="I2205" s="77"/>
    </row>
    <row r="2206" spans="2:9" x14ac:dyDescent="0.3">
      <c r="B2206" s="77">
        <v>43017</v>
      </c>
      <c r="C2206">
        <v>9988.75</v>
      </c>
      <c r="I2206" s="77"/>
    </row>
    <row r="2207" spans="2:9" x14ac:dyDescent="0.3">
      <c r="B2207" s="77">
        <v>43014</v>
      </c>
      <c r="C2207">
        <v>9979.7000000000007</v>
      </c>
      <c r="I2207" s="77"/>
    </row>
    <row r="2208" spans="2:9" x14ac:dyDescent="0.3">
      <c r="B2208" s="77">
        <v>43013</v>
      </c>
      <c r="C2208">
        <v>9888.7000000000007</v>
      </c>
      <c r="I2208" s="77"/>
    </row>
    <row r="2209" spans="2:9" x14ac:dyDescent="0.3">
      <c r="B2209" s="77">
        <v>43012</v>
      </c>
      <c r="C2209">
        <v>9914.9</v>
      </c>
      <c r="I2209" s="77"/>
    </row>
    <row r="2210" spans="2:9" x14ac:dyDescent="0.3">
      <c r="B2210" s="77">
        <v>43011</v>
      </c>
      <c r="C2210">
        <v>9859.5</v>
      </c>
      <c r="I2210" s="77"/>
    </row>
    <row r="2211" spans="2:9" x14ac:dyDescent="0.3">
      <c r="B2211" s="77">
        <v>43007</v>
      </c>
      <c r="C2211">
        <v>9788.6</v>
      </c>
      <c r="I2211" s="77"/>
    </row>
    <row r="2212" spans="2:9" x14ac:dyDescent="0.3">
      <c r="B2212" s="77">
        <v>43006</v>
      </c>
      <c r="C2212">
        <v>9768.9500000000007</v>
      </c>
      <c r="I2212" s="77"/>
    </row>
    <row r="2213" spans="2:9" x14ac:dyDescent="0.3">
      <c r="B2213" s="77">
        <v>43005</v>
      </c>
      <c r="C2213">
        <v>9735.75</v>
      </c>
      <c r="I2213" s="77"/>
    </row>
    <row r="2214" spans="2:9" x14ac:dyDescent="0.3">
      <c r="B2214" s="77">
        <v>43004</v>
      </c>
      <c r="C2214">
        <v>9871.5</v>
      </c>
      <c r="I2214" s="77"/>
    </row>
    <row r="2215" spans="2:9" x14ac:dyDescent="0.3">
      <c r="B2215" s="77">
        <v>43003</v>
      </c>
      <c r="C2215">
        <v>9872.6</v>
      </c>
      <c r="I2215" s="77"/>
    </row>
    <row r="2216" spans="2:9" x14ac:dyDescent="0.3">
      <c r="B2216" s="77">
        <v>43000</v>
      </c>
      <c r="C2216">
        <v>9964.4</v>
      </c>
      <c r="I2216" s="77"/>
    </row>
    <row r="2217" spans="2:9" x14ac:dyDescent="0.3">
      <c r="B2217" s="77">
        <v>42999</v>
      </c>
      <c r="C2217">
        <v>10121.9</v>
      </c>
      <c r="I2217" s="77"/>
    </row>
    <row r="2218" spans="2:9" x14ac:dyDescent="0.3">
      <c r="B2218" s="77">
        <v>42998</v>
      </c>
      <c r="C2218">
        <v>10141.15</v>
      </c>
      <c r="I2218" s="77"/>
    </row>
    <row r="2219" spans="2:9" x14ac:dyDescent="0.3">
      <c r="B2219" s="77">
        <v>42997</v>
      </c>
      <c r="C2219">
        <v>10147.549999999999</v>
      </c>
      <c r="I2219" s="77"/>
    </row>
    <row r="2220" spans="2:9" x14ac:dyDescent="0.3">
      <c r="B2220" s="77">
        <v>42996</v>
      </c>
      <c r="C2220">
        <v>10153.1</v>
      </c>
      <c r="I2220" s="77"/>
    </row>
    <row r="2221" spans="2:9" x14ac:dyDescent="0.3">
      <c r="B2221" s="77">
        <v>42993</v>
      </c>
      <c r="C2221">
        <v>10085.4</v>
      </c>
      <c r="I2221" s="77"/>
    </row>
    <row r="2222" spans="2:9" x14ac:dyDescent="0.3">
      <c r="B2222" s="77">
        <v>42992</v>
      </c>
      <c r="C2222">
        <v>10086.6</v>
      </c>
      <c r="I2222" s="77"/>
    </row>
    <row r="2223" spans="2:9" x14ac:dyDescent="0.3">
      <c r="B2223" s="77">
        <v>42991</v>
      </c>
      <c r="C2223">
        <v>10079.299999999999</v>
      </c>
      <c r="I2223" s="77"/>
    </row>
    <row r="2224" spans="2:9" x14ac:dyDescent="0.3">
      <c r="B2224" s="77">
        <v>42990</v>
      </c>
      <c r="C2224">
        <v>10093.049999999999</v>
      </c>
      <c r="I2224" s="77"/>
    </row>
    <row r="2225" spans="2:10" x14ac:dyDescent="0.3">
      <c r="B2225" s="77">
        <v>42989</v>
      </c>
      <c r="C2225">
        <v>10006.049999999999</v>
      </c>
      <c r="I2225" s="77"/>
    </row>
    <row r="2226" spans="2:10" x14ac:dyDescent="0.3">
      <c r="B2226" s="77">
        <v>42986</v>
      </c>
      <c r="C2226">
        <v>9934.7999999999993</v>
      </c>
      <c r="I2226" s="77"/>
    </row>
    <row r="2227" spans="2:10" x14ac:dyDescent="0.3">
      <c r="B2227" s="77">
        <v>42985</v>
      </c>
      <c r="C2227">
        <v>9929.9</v>
      </c>
      <c r="I2227" s="77"/>
    </row>
    <row r="2228" spans="2:10" x14ac:dyDescent="0.3">
      <c r="B2228" s="77">
        <v>42984</v>
      </c>
      <c r="C2228">
        <v>9916.2000000000007</v>
      </c>
      <c r="I2228" s="77"/>
    </row>
    <row r="2229" spans="2:10" x14ac:dyDescent="0.3">
      <c r="B2229" s="77">
        <v>42983</v>
      </c>
      <c r="C2229">
        <v>9952.2000000000007</v>
      </c>
      <c r="I2229" s="77"/>
    </row>
    <row r="2230" spans="2:10" x14ac:dyDescent="0.3">
      <c r="B2230" s="77">
        <v>42982</v>
      </c>
      <c r="C2230">
        <v>9912.85</v>
      </c>
      <c r="I2230" s="77"/>
    </row>
    <row r="2231" spans="2:10" x14ac:dyDescent="0.3">
      <c r="B2231" s="77">
        <v>42979</v>
      </c>
      <c r="C2231">
        <v>9974.4</v>
      </c>
      <c r="I2231" s="77"/>
    </row>
    <row r="2232" spans="2:10" x14ac:dyDescent="0.3">
      <c r="B2232" s="77">
        <v>42978</v>
      </c>
      <c r="C2232">
        <v>9917.9</v>
      </c>
      <c r="I2232" s="77"/>
    </row>
    <row r="2233" spans="2:10" x14ac:dyDescent="0.3">
      <c r="B2233" s="77">
        <v>42977</v>
      </c>
      <c r="C2233">
        <v>9884.4</v>
      </c>
      <c r="I2233" s="77"/>
    </row>
    <row r="2234" spans="2:10" x14ac:dyDescent="0.3">
      <c r="B2234" s="77">
        <v>42976</v>
      </c>
      <c r="C2234">
        <v>9796.0499999999993</v>
      </c>
      <c r="I2234" s="77"/>
    </row>
    <row r="2235" spans="2:10" x14ac:dyDescent="0.3">
      <c r="B2235" s="77">
        <v>42975</v>
      </c>
      <c r="C2235">
        <v>9912.7999999999993</v>
      </c>
      <c r="I2235" s="77"/>
    </row>
    <row r="2236" spans="2:10" x14ac:dyDescent="0.3">
      <c r="B2236" s="77">
        <v>42971</v>
      </c>
      <c r="C2236">
        <v>9857.0499999999993</v>
      </c>
      <c r="I2236" s="77"/>
    </row>
    <row r="2237" spans="2:10" x14ac:dyDescent="0.3">
      <c r="B2237" s="77">
        <v>42970</v>
      </c>
      <c r="C2237">
        <v>9852.5</v>
      </c>
      <c r="I2237" s="77"/>
      <c r="J2237" s="51"/>
    </row>
    <row r="2238" spans="2:10" x14ac:dyDescent="0.3">
      <c r="B2238" s="77">
        <v>42969</v>
      </c>
      <c r="C2238">
        <v>9765.5499999999993</v>
      </c>
      <c r="I2238" s="77"/>
      <c r="J2238" s="51"/>
    </row>
    <row r="2239" spans="2:10" x14ac:dyDescent="0.3">
      <c r="B2239" s="77">
        <v>42968</v>
      </c>
      <c r="C2239">
        <v>9754.35</v>
      </c>
      <c r="I2239" s="77"/>
      <c r="J2239" s="51"/>
    </row>
    <row r="2240" spans="2:10" x14ac:dyDescent="0.3">
      <c r="B2240" s="77">
        <v>42965</v>
      </c>
      <c r="C2240">
        <v>9837.4</v>
      </c>
      <c r="I2240" s="77"/>
      <c r="J2240" s="51"/>
    </row>
    <row r="2241" spans="2:10" x14ac:dyDescent="0.3">
      <c r="B2241" s="77">
        <v>42964</v>
      </c>
      <c r="C2241">
        <v>9904.15</v>
      </c>
      <c r="I2241" s="77"/>
      <c r="J2241" s="51"/>
    </row>
    <row r="2242" spans="2:10" x14ac:dyDescent="0.3">
      <c r="B2242" s="77">
        <v>42963</v>
      </c>
      <c r="C2242">
        <v>9897.2999999999993</v>
      </c>
      <c r="I2242" s="77"/>
      <c r="J2242" s="51"/>
    </row>
    <row r="2243" spans="2:10" x14ac:dyDescent="0.3">
      <c r="B2243" s="77">
        <v>42961</v>
      </c>
      <c r="C2243">
        <v>9794.15</v>
      </c>
      <c r="I2243" s="77"/>
      <c r="J2243" s="51"/>
    </row>
    <row r="2244" spans="2:10" x14ac:dyDescent="0.3">
      <c r="B2244" s="77">
        <v>42958</v>
      </c>
      <c r="C2244">
        <v>9710.7999999999993</v>
      </c>
      <c r="I2244" s="77"/>
      <c r="J2244" s="51"/>
    </row>
    <row r="2245" spans="2:10" x14ac:dyDescent="0.3">
      <c r="B2245" s="77">
        <v>42957</v>
      </c>
      <c r="C2245">
        <v>9820.25</v>
      </c>
      <c r="I2245" s="77"/>
      <c r="J2245" s="51"/>
    </row>
    <row r="2246" spans="2:10" x14ac:dyDescent="0.3">
      <c r="B2246" s="77">
        <v>42956</v>
      </c>
      <c r="C2246">
        <v>9908.0499999999993</v>
      </c>
      <c r="I2246" s="77"/>
      <c r="J2246" s="51"/>
    </row>
    <row r="2247" spans="2:10" x14ac:dyDescent="0.3">
      <c r="B2247" s="77">
        <v>42955</v>
      </c>
      <c r="C2247">
        <v>9978.5499999999993</v>
      </c>
      <c r="I2247" s="77"/>
      <c r="J2247" s="51"/>
    </row>
    <row r="2248" spans="2:10" x14ac:dyDescent="0.3">
      <c r="B2248" s="77">
        <v>42954</v>
      </c>
      <c r="C2248">
        <v>10057.4</v>
      </c>
      <c r="I2248" s="77"/>
      <c r="J2248" s="51"/>
    </row>
    <row r="2249" spans="2:10" x14ac:dyDescent="0.3">
      <c r="B2249" s="77">
        <v>42951</v>
      </c>
      <c r="C2249">
        <v>10066.4</v>
      </c>
      <c r="I2249" s="77"/>
      <c r="J2249" s="51"/>
    </row>
    <row r="2250" spans="2:10" x14ac:dyDescent="0.3">
      <c r="B2250" s="77">
        <v>42950</v>
      </c>
      <c r="C2250">
        <v>10013.65</v>
      </c>
      <c r="I2250" s="77"/>
      <c r="J2250" s="51"/>
    </row>
    <row r="2251" spans="2:10" x14ac:dyDescent="0.3">
      <c r="B2251" s="77">
        <v>42949</v>
      </c>
      <c r="C2251">
        <v>10081.5</v>
      </c>
      <c r="I2251" s="77"/>
      <c r="J2251" s="51"/>
    </row>
    <row r="2252" spans="2:10" x14ac:dyDescent="0.3">
      <c r="B2252" s="77">
        <v>42948</v>
      </c>
      <c r="C2252">
        <v>10114.65</v>
      </c>
      <c r="I2252" s="77"/>
      <c r="J2252" s="51"/>
    </row>
    <row r="2253" spans="2:10" x14ac:dyDescent="0.3">
      <c r="B2253" s="77">
        <v>42947</v>
      </c>
      <c r="C2253">
        <v>10077.1</v>
      </c>
      <c r="I2253" s="77"/>
      <c r="J2253" s="51"/>
    </row>
    <row r="2254" spans="2:10" x14ac:dyDescent="0.3">
      <c r="B2254" s="77">
        <v>42944</v>
      </c>
      <c r="C2254">
        <v>10014.5</v>
      </c>
      <c r="I2254" s="77"/>
      <c r="J2254" s="51"/>
    </row>
    <row r="2255" spans="2:10" x14ac:dyDescent="0.3">
      <c r="B2255" s="77">
        <v>42943</v>
      </c>
      <c r="C2255">
        <v>10020.549999999999</v>
      </c>
      <c r="I2255" s="77"/>
      <c r="J2255" s="51"/>
    </row>
    <row r="2256" spans="2:10" x14ac:dyDescent="0.3">
      <c r="B2256" s="77">
        <v>42942</v>
      </c>
      <c r="C2256">
        <v>10020.65</v>
      </c>
      <c r="I2256" s="77"/>
      <c r="J2256" s="51"/>
    </row>
    <row r="2257" spans="2:10" x14ac:dyDescent="0.3">
      <c r="B2257" s="77">
        <v>42941</v>
      </c>
      <c r="C2257">
        <v>9964.5499999999993</v>
      </c>
      <c r="I2257" s="77"/>
      <c r="J2257" s="51"/>
    </row>
    <row r="2258" spans="2:10" x14ac:dyDescent="0.3">
      <c r="B2258" s="77">
        <v>42940</v>
      </c>
      <c r="C2258">
        <v>9966.4</v>
      </c>
      <c r="I2258" s="77"/>
      <c r="J2258" s="51"/>
    </row>
    <row r="2259" spans="2:10" x14ac:dyDescent="0.3">
      <c r="B2259" s="77">
        <v>42937</v>
      </c>
      <c r="C2259">
        <v>9915.25</v>
      </c>
      <c r="I2259" s="77"/>
      <c r="J2259" s="51"/>
    </row>
    <row r="2260" spans="2:10" x14ac:dyDescent="0.3">
      <c r="B2260" s="77">
        <v>42936</v>
      </c>
      <c r="C2260">
        <v>9873.2999999999993</v>
      </c>
      <c r="I2260" s="77"/>
      <c r="J2260" s="51"/>
    </row>
    <row r="2261" spans="2:10" x14ac:dyDescent="0.3">
      <c r="B2261" s="77">
        <v>42935</v>
      </c>
      <c r="C2261">
        <v>9899.6</v>
      </c>
      <c r="I2261" s="77"/>
      <c r="J2261" s="51"/>
    </row>
    <row r="2262" spans="2:10" x14ac:dyDescent="0.3">
      <c r="B2262" s="77">
        <v>42934</v>
      </c>
      <c r="C2262">
        <v>9827.15</v>
      </c>
      <c r="I2262" s="77"/>
      <c r="J2262" s="51"/>
    </row>
    <row r="2263" spans="2:10" x14ac:dyDescent="0.3">
      <c r="B2263" s="77">
        <v>42933</v>
      </c>
      <c r="C2263">
        <v>9915.9500000000007</v>
      </c>
      <c r="I2263" s="77"/>
      <c r="J2263" s="51"/>
    </row>
    <row r="2264" spans="2:10" x14ac:dyDescent="0.3">
      <c r="B2264" s="77">
        <v>42930</v>
      </c>
      <c r="C2264">
        <v>9886.35</v>
      </c>
      <c r="I2264" s="77"/>
      <c r="J2264" s="51"/>
    </row>
    <row r="2265" spans="2:10" x14ac:dyDescent="0.3">
      <c r="B2265" s="77">
        <v>42929</v>
      </c>
      <c r="C2265">
        <v>9891.7000000000007</v>
      </c>
      <c r="I2265" s="77"/>
      <c r="J2265" s="51"/>
    </row>
    <row r="2266" spans="2:10" x14ac:dyDescent="0.3">
      <c r="B2266" s="77">
        <v>42928</v>
      </c>
      <c r="C2266">
        <v>9816.1</v>
      </c>
      <c r="I2266" s="77"/>
      <c r="J2266" s="51"/>
    </row>
    <row r="2267" spans="2:10" x14ac:dyDescent="0.3">
      <c r="B2267" s="77">
        <v>42927</v>
      </c>
      <c r="C2267">
        <v>9786.0499999999993</v>
      </c>
      <c r="I2267" s="77"/>
      <c r="J2267" s="51"/>
    </row>
    <row r="2268" spans="2:10" x14ac:dyDescent="0.3">
      <c r="B2268" s="77">
        <v>42926</v>
      </c>
      <c r="C2268">
        <v>9771.0499999999993</v>
      </c>
      <c r="I2268" s="77"/>
      <c r="J2268" s="51"/>
    </row>
    <row r="2269" spans="2:10" x14ac:dyDescent="0.3">
      <c r="B2269" s="77">
        <v>42923</v>
      </c>
      <c r="C2269">
        <v>9665.7999999999993</v>
      </c>
      <c r="I2269" s="77"/>
      <c r="J2269" s="51"/>
    </row>
    <row r="2270" spans="2:10" x14ac:dyDescent="0.3">
      <c r="B2270" s="77">
        <v>42922</v>
      </c>
      <c r="C2270">
        <v>9674.5499999999993</v>
      </c>
      <c r="I2270" s="77"/>
      <c r="J2270" s="51"/>
    </row>
    <row r="2271" spans="2:10" x14ac:dyDescent="0.3">
      <c r="B2271" s="77">
        <v>42921</v>
      </c>
      <c r="C2271">
        <v>9637.6</v>
      </c>
      <c r="I2271" s="77"/>
      <c r="J2271" s="51"/>
    </row>
    <row r="2272" spans="2:10" x14ac:dyDescent="0.3">
      <c r="B2272" s="77">
        <v>42920</v>
      </c>
      <c r="C2272">
        <v>9613.2999999999993</v>
      </c>
      <c r="I2272" s="77"/>
      <c r="J2272" s="51"/>
    </row>
    <row r="2273" spans="2:10" x14ac:dyDescent="0.3">
      <c r="B2273" s="77">
        <v>42919</v>
      </c>
      <c r="C2273">
        <v>9615</v>
      </c>
      <c r="I2273" s="77"/>
      <c r="J2273" s="51"/>
    </row>
    <row r="2274" spans="2:10" x14ac:dyDescent="0.3">
      <c r="B2274" s="77">
        <v>42916</v>
      </c>
      <c r="C2274">
        <v>9520.9</v>
      </c>
      <c r="I2274" s="77"/>
      <c r="J2274" s="51"/>
    </row>
    <row r="2275" spans="2:10" x14ac:dyDescent="0.3">
      <c r="B2275" s="77">
        <v>42915</v>
      </c>
      <c r="C2275">
        <v>9504.1</v>
      </c>
      <c r="I2275" s="77"/>
      <c r="J2275" s="51"/>
    </row>
    <row r="2276" spans="2:10" x14ac:dyDescent="0.3">
      <c r="B2276" s="77">
        <v>42914</v>
      </c>
      <c r="C2276">
        <v>9491.25</v>
      </c>
      <c r="I2276" s="77"/>
      <c r="J2276" s="51"/>
    </row>
    <row r="2277" spans="2:10" x14ac:dyDescent="0.3">
      <c r="B2277" s="77">
        <v>42913</v>
      </c>
      <c r="C2277">
        <v>9511.4</v>
      </c>
      <c r="I2277" s="77"/>
      <c r="J2277" s="51"/>
    </row>
    <row r="2278" spans="2:10" x14ac:dyDescent="0.3">
      <c r="B2278" s="77">
        <v>42909</v>
      </c>
      <c r="C2278">
        <v>9574.9500000000007</v>
      </c>
      <c r="I2278" s="77"/>
      <c r="J2278" s="51"/>
    </row>
    <row r="2279" spans="2:10" x14ac:dyDescent="0.3">
      <c r="B2279" s="77">
        <v>42908</v>
      </c>
      <c r="C2279">
        <v>9630</v>
      </c>
      <c r="I2279" s="77"/>
      <c r="J2279" s="51"/>
    </row>
    <row r="2280" spans="2:10" x14ac:dyDescent="0.3">
      <c r="B2280" s="77">
        <v>42907</v>
      </c>
      <c r="C2280">
        <v>9633.6</v>
      </c>
      <c r="I2280" s="77"/>
      <c r="J2280" s="51"/>
    </row>
    <row r="2281" spans="2:10" x14ac:dyDescent="0.3">
      <c r="B2281" s="77">
        <v>42906</v>
      </c>
      <c r="C2281">
        <v>9653.5</v>
      </c>
      <c r="I2281" s="77"/>
      <c r="J2281" s="51"/>
    </row>
    <row r="2282" spans="2:10" x14ac:dyDescent="0.3">
      <c r="B2282" s="77">
        <v>42905</v>
      </c>
      <c r="C2282">
        <v>9657.5499999999993</v>
      </c>
      <c r="I2282" s="77"/>
      <c r="J2282" s="51"/>
    </row>
    <row r="2283" spans="2:10" x14ac:dyDescent="0.3">
      <c r="B2283" s="77">
        <v>42902</v>
      </c>
      <c r="C2283">
        <v>9588.0499999999993</v>
      </c>
      <c r="I2283" s="77"/>
      <c r="J2283" s="51"/>
    </row>
    <row r="2284" spans="2:10" x14ac:dyDescent="0.3">
      <c r="B2284" s="77">
        <v>42901</v>
      </c>
      <c r="C2284">
        <v>9578.0499999999993</v>
      </c>
      <c r="I2284" s="77"/>
      <c r="J2284" s="51"/>
    </row>
    <row r="2285" spans="2:10" x14ac:dyDescent="0.3">
      <c r="B2285" s="77">
        <v>42900</v>
      </c>
      <c r="C2285">
        <v>9618.15</v>
      </c>
      <c r="I2285" s="77"/>
      <c r="J2285" s="51"/>
    </row>
    <row r="2286" spans="2:10" x14ac:dyDescent="0.3">
      <c r="B2286" s="77">
        <v>42899</v>
      </c>
      <c r="C2286">
        <v>9606.9</v>
      </c>
      <c r="I2286" s="77"/>
      <c r="J2286" s="51"/>
    </row>
    <row r="2287" spans="2:10" x14ac:dyDescent="0.3">
      <c r="B2287" s="77">
        <v>42898</v>
      </c>
      <c r="C2287">
        <v>9616.4</v>
      </c>
      <c r="I2287" s="77"/>
      <c r="J2287" s="51"/>
    </row>
    <row r="2288" spans="2:10" x14ac:dyDescent="0.3">
      <c r="B2288" s="77">
        <v>42895</v>
      </c>
      <c r="C2288">
        <v>9668.25</v>
      </c>
      <c r="I2288" s="77"/>
      <c r="J2288" s="51"/>
    </row>
    <row r="2289" spans="2:10" x14ac:dyDescent="0.3">
      <c r="B2289" s="77">
        <v>42894</v>
      </c>
      <c r="C2289">
        <v>9647.25</v>
      </c>
      <c r="I2289" s="77"/>
      <c r="J2289" s="51"/>
    </row>
    <row r="2290" spans="2:10" x14ac:dyDescent="0.3">
      <c r="B2290" s="77">
        <v>42893</v>
      </c>
      <c r="C2290">
        <v>9663.9</v>
      </c>
      <c r="I2290" s="77"/>
      <c r="J2290" s="51"/>
    </row>
    <row r="2291" spans="2:10" x14ac:dyDescent="0.3">
      <c r="B2291" s="77">
        <v>42892</v>
      </c>
      <c r="C2291">
        <v>9637.15</v>
      </c>
      <c r="I2291" s="77"/>
      <c r="J2291" s="51"/>
    </row>
    <row r="2292" spans="2:10" x14ac:dyDescent="0.3">
      <c r="B2292" s="77">
        <v>42891</v>
      </c>
      <c r="C2292">
        <v>9675.1</v>
      </c>
      <c r="I2292" s="77"/>
      <c r="J2292" s="51"/>
    </row>
    <row r="2293" spans="2:10" x14ac:dyDescent="0.3">
      <c r="B2293" s="77">
        <v>42888</v>
      </c>
      <c r="C2293">
        <v>9653.5</v>
      </c>
      <c r="I2293" s="77"/>
      <c r="J2293" s="51"/>
    </row>
    <row r="2294" spans="2:10" x14ac:dyDescent="0.3">
      <c r="B2294" s="77">
        <v>42887</v>
      </c>
      <c r="C2294">
        <v>9616.1</v>
      </c>
      <c r="I2294" s="77"/>
      <c r="J2294" s="51"/>
    </row>
    <row r="2295" spans="2:10" x14ac:dyDescent="0.3">
      <c r="B2295" s="77">
        <v>42886</v>
      </c>
      <c r="C2295">
        <v>9621.25</v>
      </c>
      <c r="I2295" s="77"/>
      <c r="J2295" s="51"/>
    </row>
    <row r="2296" spans="2:10" x14ac:dyDescent="0.3">
      <c r="B2296" s="77">
        <v>42885</v>
      </c>
      <c r="C2296">
        <v>9624.5499999999993</v>
      </c>
      <c r="I2296" s="77"/>
      <c r="J2296" s="51"/>
    </row>
    <row r="2297" spans="2:10" x14ac:dyDescent="0.3">
      <c r="B2297" s="77">
        <v>42884</v>
      </c>
      <c r="C2297">
        <v>9604.9</v>
      </c>
      <c r="I2297" s="77"/>
      <c r="J2297" s="51"/>
    </row>
    <row r="2298" spans="2:10" x14ac:dyDescent="0.3">
      <c r="B2298" s="77">
        <v>42881</v>
      </c>
      <c r="C2298">
        <v>9595.1</v>
      </c>
      <c r="I2298" s="77"/>
      <c r="J2298" s="51"/>
    </row>
    <row r="2299" spans="2:10" x14ac:dyDescent="0.3">
      <c r="B2299" s="77">
        <v>42880</v>
      </c>
      <c r="C2299">
        <v>9509.75</v>
      </c>
      <c r="I2299" s="77"/>
      <c r="J2299" s="51"/>
    </row>
    <row r="2300" spans="2:10" x14ac:dyDescent="0.3">
      <c r="B2300" s="77">
        <v>42879</v>
      </c>
      <c r="C2300">
        <v>9360.5499999999993</v>
      </c>
      <c r="I2300" s="77"/>
      <c r="J2300" s="51"/>
    </row>
    <row r="2301" spans="2:10" x14ac:dyDescent="0.3">
      <c r="B2301" s="77">
        <v>42878</v>
      </c>
      <c r="C2301">
        <v>9386.15</v>
      </c>
      <c r="I2301" s="77"/>
      <c r="J2301" s="51"/>
    </row>
    <row r="2302" spans="2:10" x14ac:dyDescent="0.3">
      <c r="B2302" s="77">
        <v>42877</v>
      </c>
      <c r="C2302">
        <v>9438.25</v>
      </c>
      <c r="I2302" s="77"/>
      <c r="J2302" s="51"/>
    </row>
    <row r="2303" spans="2:10" x14ac:dyDescent="0.3">
      <c r="B2303" s="77">
        <v>42874</v>
      </c>
      <c r="C2303">
        <v>9427.9</v>
      </c>
      <c r="I2303" s="77"/>
      <c r="J2303" s="51"/>
    </row>
    <row r="2304" spans="2:10" x14ac:dyDescent="0.3">
      <c r="B2304" s="77">
        <v>42873</v>
      </c>
      <c r="C2304">
        <v>9429.4500000000007</v>
      </c>
      <c r="I2304" s="77"/>
      <c r="J2304" s="51"/>
    </row>
    <row r="2305" spans="2:10" x14ac:dyDescent="0.3">
      <c r="B2305" s="77">
        <v>42872</v>
      </c>
      <c r="C2305">
        <v>9525.75</v>
      </c>
      <c r="I2305" s="77"/>
      <c r="J2305" s="51"/>
    </row>
    <row r="2306" spans="2:10" x14ac:dyDescent="0.3">
      <c r="B2306" s="77">
        <v>42871</v>
      </c>
      <c r="C2306">
        <v>9512.25</v>
      </c>
      <c r="I2306" s="77"/>
      <c r="J2306" s="51"/>
    </row>
    <row r="2307" spans="2:10" x14ac:dyDescent="0.3">
      <c r="B2307" s="77">
        <v>42870</v>
      </c>
      <c r="C2307">
        <v>9445.4</v>
      </c>
      <c r="I2307" s="77"/>
      <c r="J2307" s="51"/>
    </row>
    <row r="2308" spans="2:10" x14ac:dyDescent="0.3">
      <c r="B2308" s="77">
        <v>42867</v>
      </c>
      <c r="C2308">
        <v>9400.9</v>
      </c>
      <c r="I2308" s="77"/>
      <c r="J2308" s="51"/>
    </row>
    <row r="2309" spans="2:10" x14ac:dyDescent="0.3">
      <c r="B2309" s="77">
        <v>42866</v>
      </c>
      <c r="C2309">
        <v>9422.4</v>
      </c>
      <c r="I2309" s="77"/>
      <c r="J2309" s="51"/>
    </row>
    <row r="2310" spans="2:10" x14ac:dyDescent="0.3">
      <c r="B2310" s="77">
        <v>42865</v>
      </c>
      <c r="C2310">
        <v>9407.2999999999993</v>
      </c>
      <c r="I2310" s="77"/>
      <c r="J2310" s="51"/>
    </row>
    <row r="2311" spans="2:10" x14ac:dyDescent="0.3">
      <c r="B2311" s="77">
        <v>42864</v>
      </c>
      <c r="C2311">
        <v>9316.85</v>
      </c>
      <c r="I2311" s="77"/>
      <c r="J2311" s="51"/>
    </row>
    <row r="2312" spans="2:10" x14ac:dyDescent="0.3">
      <c r="B2312" s="77">
        <v>42863</v>
      </c>
      <c r="C2312">
        <v>9314.0499999999993</v>
      </c>
      <c r="I2312" s="77"/>
      <c r="J2312" s="51"/>
    </row>
    <row r="2313" spans="2:10" x14ac:dyDescent="0.3">
      <c r="B2313" s="77">
        <v>42860</v>
      </c>
      <c r="C2313">
        <v>9285.2999999999993</v>
      </c>
      <c r="I2313" s="77"/>
      <c r="J2313" s="51"/>
    </row>
    <row r="2314" spans="2:10" x14ac:dyDescent="0.3">
      <c r="B2314" s="77">
        <v>42859</v>
      </c>
      <c r="C2314">
        <v>9359.9</v>
      </c>
      <c r="I2314" s="77"/>
      <c r="J2314" s="51"/>
    </row>
    <row r="2315" spans="2:10" x14ac:dyDescent="0.3">
      <c r="B2315" s="77">
        <v>42858</v>
      </c>
      <c r="C2315">
        <v>9311.9500000000007</v>
      </c>
      <c r="I2315" s="77"/>
      <c r="J2315" s="51"/>
    </row>
    <row r="2316" spans="2:10" x14ac:dyDescent="0.3">
      <c r="B2316" s="77">
        <v>42857</v>
      </c>
      <c r="C2316">
        <v>9313.7999999999993</v>
      </c>
      <c r="I2316" s="77"/>
      <c r="J2316" s="51"/>
    </row>
    <row r="2317" spans="2:10" x14ac:dyDescent="0.3">
      <c r="B2317" s="77">
        <v>42853</v>
      </c>
      <c r="C2317">
        <v>9304.0499999999993</v>
      </c>
      <c r="I2317" s="77"/>
      <c r="J2317" s="51"/>
    </row>
    <row r="2318" spans="2:10" x14ac:dyDescent="0.3">
      <c r="B2318" s="77">
        <v>42852</v>
      </c>
      <c r="C2318">
        <v>9342.15</v>
      </c>
      <c r="I2318" s="77"/>
      <c r="J2318" s="51"/>
    </row>
    <row r="2319" spans="2:10" x14ac:dyDescent="0.3">
      <c r="B2319" s="77">
        <v>42851</v>
      </c>
      <c r="C2319">
        <v>9351.85</v>
      </c>
      <c r="I2319" s="77"/>
      <c r="J2319" s="51"/>
    </row>
    <row r="2320" spans="2:10" x14ac:dyDescent="0.3">
      <c r="B2320" s="77">
        <v>42850</v>
      </c>
      <c r="C2320">
        <v>9306.6</v>
      </c>
      <c r="I2320" s="77"/>
      <c r="J2320" s="51"/>
    </row>
    <row r="2321" spans="2:10" x14ac:dyDescent="0.3">
      <c r="B2321" s="77">
        <v>42849</v>
      </c>
      <c r="C2321">
        <v>9217.9500000000007</v>
      </c>
      <c r="I2321" s="77"/>
      <c r="J2321" s="51"/>
    </row>
    <row r="2322" spans="2:10" x14ac:dyDescent="0.3">
      <c r="B2322" s="77">
        <v>42846</v>
      </c>
      <c r="C2322">
        <v>9119.4</v>
      </c>
      <c r="I2322" s="77"/>
      <c r="J2322" s="51"/>
    </row>
    <row r="2323" spans="2:10" x14ac:dyDescent="0.3">
      <c r="B2323" s="77">
        <v>42845</v>
      </c>
      <c r="C2323">
        <v>9136.4</v>
      </c>
      <c r="I2323" s="77"/>
      <c r="J2323" s="51"/>
    </row>
    <row r="2324" spans="2:10" x14ac:dyDescent="0.3">
      <c r="B2324" s="77">
        <v>42844</v>
      </c>
      <c r="C2324">
        <v>9103.5</v>
      </c>
      <c r="I2324" s="77"/>
      <c r="J2324" s="51"/>
    </row>
    <row r="2325" spans="2:10" x14ac:dyDescent="0.3">
      <c r="B2325" s="77">
        <v>42843</v>
      </c>
      <c r="C2325">
        <v>9105.15</v>
      </c>
      <c r="I2325" s="77"/>
      <c r="J2325" s="51"/>
    </row>
    <row r="2326" spans="2:10" x14ac:dyDescent="0.3">
      <c r="B2326" s="77">
        <v>42842</v>
      </c>
      <c r="C2326">
        <v>9139.2999999999993</v>
      </c>
      <c r="I2326" s="77"/>
      <c r="J2326" s="51"/>
    </row>
    <row r="2327" spans="2:10" x14ac:dyDescent="0.3">
      <c r="B2327" s="77">
        <v>42838</v>
      </c>
      <c r="C2327">
        <v>9150.7999999999993</v>
      </c>
      <c r="I2327" s="77"/>
      <c r="J2327" s="51"/>
    </row>
    <row r="2328" spans="2:10" x14ac:dyDescent="0.3">
      <c r="B2328" s="77">
        <v>42837</v>
      </c>
      <c r="C2328">
        <v>9203.4500000000007</v>
      </c>
      <c r="I2328" s="77"/>
      <c r="J2328" s="51"/>
    </row>
    <row r="2329" spans="2:10" x14ac:dyDescent="0.3">
      <c r="B2329" s="77">
        <v>42836</v>
      </c>
      <c r="C2329">
        <v>9237</v>
      </c>
      <c r="I2329" s="77"/>
      <c r="J2329" s="51"/>
    </row>
    <row r="2330" spans="2:10" x14ac:dyDescent="0.3">
      <c r="B2330" s="77">
        <v>42835</v>
      </c>
      <c r="C2330">
        <v>9181.4500000000007</v>
      </c>
      <c r="I2330" s="77"/>
      <c r="J2330" s="51"/>
    </row>
    <row r="2331" spans="2:10" x14ac:dyDescent="0.3">
      <c r="B2331" s="77">
        <v>42832</v>
      </c>
      <c r="C2331">
        <v>9198.2999999999993</v>
      </c>
      <c r="I2331" s="77"/>
      <c r="J2331" s="51"/>
    </row>
    <row r="2332" spans="2:10" x14ac:dyDescent="0.3">
      <c r="B2332" s="77">
        <v>42831</v>
      </c>
      <c r="C2332">
        <v>9261.9500000000007</v>
      </c>
      <c r="I2332" s="77"/>
      <c r="J2332" s="51"/>
    </row>
    <row r="2333" spans="2:10" x14ac:dyDescent="0.3">
      <c r="B2333" s="77">
        <v>42830</v>
      </c>
      <c r="C2333">
        <v>9265.15</v>
      </c>
      <c r="I2333" s="77"/>
      <c r="J2333" s="51"/>
    </row>
    <row r="2334" spans="2:10" x14ac:dyDescent="0.3">
      <c r="B2334" s="77">
        <v>42828</v>
      </c>
      <c r="C2334">
        <v>9237.85</v>
      </c>
      <c r="I2334" s="77"/>
      <c r="J2334" s="51"/>
    </row>
    <row r="2335" spans="2:10" x14ac:dyDescent="0.3">
      <c r="B2335" s="77">
        <v>42825</v>
      </c>
      <c r="C2335">
        <v>9173.75</v>
      </c>
      <c r="I2335" s="77"/>
      <c r="J2335" s="51"/>
    </row>
    <row r="2336" spans="2:10" x14ac:dyDescent="0.3">
      <c r="B2336" s="77">
        <v>42824</v>
      </c>
      <c r="C2336">
        <v>9173.75</v>
      </c>
      <c r="I2336" s="77"/>
      <c r="J2336" s="51"/>
    </row>
    <row r="2337" spans="2:10" x14ac:dyDescent="0.3">
      <c r="B2337" s="77">
        <v>42823</v>
      </c>
      <c r="C2337">
        <v>9143.7999999999993</v>
      </c>
      <c r="I2337" s="77"/>
      <c r="J2337" s="51"/>
    </row>
    <row r="2338" spans="2:10" x14ac:dyDescent="0.3">
      <c r="B2338" s="77">
        <v>42822</v>
      </c>
      <c r="C2338">
        <v>9100.7999999999993</v>
      </c>
      <c r="I2338" s="77"/>
      <c r="J2338" s="51"/>
    </row>
    <row r="2339" spans="2:10" x14ac:dyDescent="0.3">
      <c r="B2339" s="77">
        <v>42821</v>
      </c>
      <c r="C2339">
        <v>9045.2000000000007</v>
      </c>
      <c r="I2339" s="77"/>
      <c r="J2339" s="51"/>
    </row>
    <row r="2340" spans="2:10" x14ac:dyDescent="0.3">
      <c r="B2340" s="77">
        <v>42818</v>
      </c>
      <c r="C2340">
        <v>9108</v>
      </c>
      <c r="I2340" s="77"/>
      <c r="J2340" s="51"/>
    </row>
    <row r="2341" spans="2:10" x14ac:dyDescent="0.3">
      <c r="B2341" s="77">
        <v>42817</v>
      </c>
      <c r="C2341">
        <v>9086.2999999999993</v>
      </c>
      <c r="I2341" s="77"/>
      <c r="J2341" s="51"/>
    </row>
    <row r="2342" spans="2:10" x14ac:dyDescent="0.3">
      <c r="B2342" s="77">
        <v>42816</v>
      </c>
      <c r="C2342">
        <v>9030.4500000000007</v>
      </c>
      <c r="I2342" s="77"/>
      <c r="J2342" s="51"/>
    </row>
    <row r="2343" spans="2:10" x14ac:dyDescent="0.3">
      <c r="B2343" s="77">
        <v>42815</v>
      </c>
      <c r="C2343">
        <v>9121.5</v>
      </c>
      <c r="I2343" s="77"/>
      <c r="J2343" s="51"/>
    </row>
    <row r="2344" spans="2:10" x14ac:dyDescent="0.3">
      <c r="B2344" s="77">
        <v>42814</v>
      </c>
      <c r="C2344">
        <v>9126.85</v>
      </c>
      <c r="I2344" s="77"/>
      <c r="J2344" s="51"/>
    </row>
    <row r="2345" spans="2:10" x14ac:dyDescent="0.3">
      <c r="B2345" s="77">
        <v>42811</v>
      </c>
      <c r="C2345">
        <v>9160.0499999999993</v>
      </c>
      <c r="I2345" s="77"/>
      <c r="J2345" s="51"/>
    </row>
    <row r="2346" spans="2:10" x14ac:dyDescent="0.3">
      <c r="B2346" s="77">
        <v>42810</v>
      </c>
      <c r="C2346">
        <v>9153.7000000000007</v>
      </c>
      <c r="I2346" s="77"/>
      <c r="J2346" s="51"/>
    </row>
    <row r="2347" spans="2:10" x14ac:dyDescent="0.3">
      <c r="B2347" s="77">
        <v>42809</v>
      </c>
      <c r="C2347">
        <v>9084.7999999999993</v>
      </c>
      <c r="I2347" s="77"/>
      <c r="J2347" s="51"/>
    </row>
    <row r="2348" spans="2:10" x14ac:dyDescent="0.3">
      <c r="B2348" s="77">
        <v>42808</v>
      </c>
      <c r="C2348">
        <v>9087</v>
      </c>
      <c r="I2348" s="77"/>
      <c r="J2348" s="51"/>
    </row>
    <row r="2349" spans="2:10" x14ac:dyDescent="0.3">
      <c r="B2349" s="77">
        <v>42804</v>
      </c>
      <c r="C2349">
        <v>8934.5499999999993</v>
      </c>
      <c r="I2349" s="77"/>
      <c r="J2349" s="51"/>
    </row>
    <row r="2350" spans="2:10" x14ac:dyDescent="0.3">
      <c r="B2350" s="77">
        <v>42803</v>
      </c>
      <c r="C2350">
        <v>8927</v>
      </c>
      <c r="I2350" s="77"/>
      <c r="J2350" s="51"/>
    </row>
    <row r="2351" spans="2:10" x14ac:dyDescent="0.3">
      <c r="B2351" s="77">
        <v>42802</v>
      </c>
      <c r="C2351">
        <v>8924.2999999999993</v>
      </c>
      <c r="I2351" s="77"/>
      <c r="J2351" s="51"/>
    </row>
    <row r="2352" spans="2:10" x14ac:dyDescent="0.3">
      <c r="B2352" s="77">
        <v>42801</v>
      </c>
      <c r="C2352">
        <v>8946.9</v>
      </c>
      <c r="I2352" s="77"/>
      <c r="J2352" s="51"/>
    </row>
    <row r="2353" spans="2:10" x14ac:dyDescent="0.3">
      <c r="B2353" s="77">
        <v>42800</v>
      </c>
      <c r="C2353">
        <v>8963.4500000000007</v>
      </c>
      <c r="I2353" s="77"/>
      <c r="J2353" s="51"/>
    </row>
    <row r="2354" spans="2:10" x14ac:dyDescent="0.3">
      <c r="B2354" s="77">
        <v>42797</v>
      </c>
      <c r="C2354">
        <v>8897.5499999999993</v>
      </c>
      <c r="I2354" s="77"/>
      <c r="J2354" s="51"/>
    </row>
    <row r="2355" spans="2:10" x14ac:dyDescent="0.3">
      <c r="B2355" s="77">
        <v>42796</v>
      </c>
      <c r="C2355">
        <v>8899.75</v>
      </c>
      <c r="I2355" s="77"/>
      <c r="J2355" s="51"/>
    </row>
    <row r="2356" spans="2:10" x14ac:dyDescent="0.3">
      <c r="B2356" s="77">
        <v>42795</v>
      </c>
      <c r="C2356">
        <v>8945.7999999999993</v>
      </c>
      <c r="I2356" s="77"/>
      <c r="J2356" s="51"/>
    </row>
    <row r="2357" spans="2:10" x14ac:dyDescent="0.3">
      <c r="B2357" s="77">
        <v>42794</v>
      </c>
      <c r="C2357">
        <v>8879.6</v>
      </c>
      <c r="I2357" s="77"/>
      <c r="J2357" s="51"/>
    </row>
    <row r="2358" spans="2:10" x14ac:dyDescent="0.3">
      <c r="B2358" s="77">
        <v>42793</v>
      </c>
      <c r="C2358">
        <v>8896.7000000000007</v>
      </c>
      <c r="I2358" s="77"/>
      <c r="J2358" s="51"/>
    </row>
    <row r="2359" spans="2:10" x14ac:dyDescent="0.3">
      <c r="B2359" s="77">
        <v>42789</v>
      </c>
      <c r="C2359">
        <v>8939.5</v>
      </c>
      <c r="I2359" s="77"/>
      <c r="J2359" s="51"/>
    </row>
    <row r="2360" spans="2:10" x14ac:dyDescent="0.3">
      <c r="B2360" s="77">
        <v>42788</v>
      </c>
      <c r="C2360">
        <v>8926.9</v>
      </c>
      <c r="I2360" s="77"/>
      <c r="J2360" s="51"/>
    </row>
    <row r="2361" spans="2:10" x14ac:dyDescent="0.3">
      <c r="B2361" s="77">
        <v>42787</v>
      </c>
      <c r="C2361">
        <v>8907.85</v>
      </c>
      <c r="I2361" s="77"/>
      <c r="J2361" s="51"/>
    </row>
    <row r="2362" spans="2:10" x14ac:dyDescent="0.3">
      <c r="B2362" s="77">
        <v>42786</v>
      </c>
      <c r="C2362">
        <v>8879.2000000000007</v>
      </c>
      <c r="I2362" s="77"/>
      <c r="J2362" s="51"/>
    </row>
    <row r="2363" spans="2:10" x14ac:dyDescent="0.3">
      <c r="B2363" s="77">
        <v>42783</v>
      </c>
      <c r="C2363">
        <v>8821.7000000000007</v>
      </c>
      <c r="I2363" s="77"/>
      <c r="J2363" s="51"/>
    </row>
    <row r="2364" spans="2:10" x14ac:dyDescent="0.3">
      <c r="B2364" s="77">
        <v>42782</v>
      </c>
      <c r="C2364">
        <v>8778</v>
      </c>
      <c r="I2364" s="77"/>
      <c r="J2364" s="51"/>
    </row>
    <row r="2365" spans="2:10" x14ac:dyDescent="0.3">
      <c r="B2365" s="77">
        <v>42781</v>
      </c>
      <c r="C2365">
        <v>8724.7000000000007</v>
      </c>
      <c r="I2365" s="77"/>
      <c r="J2365" s="51"/>
    </row>
    <row r="2366" spans="2:10" x14ac:dyDescent="0.3">
      <c r="B2366" s="77">
        <v>42780</v>
      </c>
      <c r="C2366">
        <v>8792.2999999999993</v>
      </c>
      <c r="I2366" s="77"/>
      <c r="J2366" s="51"/>
    </row>
    <row r="2367" spans="2:10" x14ac:dyDescent="0.3">
      <c r="B2367" s="77">
        <v>42779</v>
      </c>
      <c r="C2367">
        <v>8805.0499999999993</v>
      </c>
      <c r="I2367" s="77"/>
      <c r="J2367" s="51"/>
    </row>
    <row r="2368" spans="2:10" x14ac:dyDescent="0.3">
      <c r="B2368" s="77">
        <v>42776</v>
      </c>
      <c r="C2368">
        <v>8793.5499999999993</v>
      </c>
      <c r="I2368" s="77"/>
      <c r="J2368" s="51"/>
    </row>
    <row r="2369" spans="2:10" x14ac:dyDescent="0.3">
      <c r="B2369" s="77">
        <v>42775</v>
      </c>
      <c r="C2369">
        <v>8778.4</v>
      </c>
      <c r="I2369" s="77"/>
      <c r="J2369" s="51"/>
    </row>
    <row r="2370" spans="2:10" x14ac:dyDescent="0.3">
      <c r="B2370" s="77">
        <v>42774</v>
      </c>
      <c r="C2370">
        <v>8769.0499999999993</v>
      </c>
      <c r="I2370" s="77"/>
      <c r="J2370" s="51"/>
    </row>
    <row r="2371" spans="2:10" x14ac:dyDescent="0.3">
      <c r="B2371" s="77">
        <v>42773</v>
      </c>
      <c r="C2371">
        <v>8768.2999999999993</v>
      </c>
      <c r="I2371" s="77"/>
      <c r="J2371" s="51"/>
    </row>
    <row r="2372" spans="2:10" x14ac:dyDescent="0.3">
      <c r="B2372" s="77">
        <v>42772</v>
      </c>
      <c r="C2372">
        <v>8801.0499999999993</v>
      </c>
      <c r="I2372" s="77"/>
      <c r="J2372" s="51"/>
    </row>
    <row r="2373" spans="2:10" x14ac:dyDescent="0.3">
      <c r="B2373" s="77">
        <v>42769</v>
      </c>
      <c r="C2373">
        <v>8740.9500000000007</v>
      </c>
      <c r="I2373" s="77"/>
      <c r="J2373" s="51"/>
    </row>
    <row r="2374" spans="2:10" x14ac:dyDescent="0.3">
      <c r="B2374" s="77">
        <v>42768</v>
      </c>
      <c r="C2374">
        <v>8734.25</v>
      </c>
      <c r="I2374" s="77"/>
      <c r="J2374" s="51"/>
    </row>
    <row r="2375" spans="2:10" x14ac:dyDescent="0.3">
      <c r="B2375" s="77">
        <v>42767</v>
      </c>
      <c r="C2375">
        <v>8716.4</v>
      </c>
      <c r="I2375" s="77"/>
      <c r="J2375" s="51"/>
    </row>
    <row r="2376" spans="2:10" x14ac:dyDescent="0.3">
      <c r="B2376" s="77">
        <v>42766</v>
      </c>
      <c r="C2376">
        <v>8561.2999999999993</v>
      </c>
      <c r="I2376" s="77"/>
      <c r="J2376" s="51"/>
    </row>
    <row r="2377" spans="2:10" x14ac:dyDescent="0.3">
      <c r="B2377" s="77">
        <v>42765</v>
      </c>
      <c r="C2377">
        <v>8632.75</v>
      </c>
      <c r="I2377" s="77"/>
      <c r="J2377" s="51"/>
    </row>
    <row r="2378" spans="2:10" x14ac:dyDescent="0.3">
      <c r="B2378" s="77">
        <v>42762</v>
      </c>
      <c r="C2378">
        <v>8641.25</v>
      </c>
      <c r="I2378" s="77"/>
      <c r="J2378" s="51"/>
    </row>
    <row r="2379" spans="2:10" x14ac:dyDescent="0.3">
      <c r="B2379" s="77">
        <v>42760</v>
      </c>
      <c r="C2379">
        <v>8602.75</v>
      </c>
      <c r="I2379" s="77"/>
      <c r="J2379" s="51"/>
    </row>
    <row r="2380" spans="2:10" x14ac:dyDescent="0.3">
      <c r="B2380" s="77">
        <v>42759</v>
      </c>
      <c r="C2380">
        <v>8475.7999999999993</v>
      </c>
      <c r="I2380" s="77"/>
      <c r="J2380" s="51"/>
    </row>
    <row r="2381" spans="2:10" x14ac:dyDescent="0.3">
      <c r="B2381" s="77">
        <v>42758</v>
      </c>
      <c r="C2381">
        <v>8391.5</v>
      </c>
      <c r="I2381" s="77"/>
      <c r="J2381" s="51"/>
    </row>
    <row r="2382" spans="2:10" x14ac:dyDescent="0.3">
      <c r="B2382" s="77">
        <v>42755</v>
      </c>
      <c r="C2382">
        <v>8349.35</v>
      </c>
      <c r="I2382" s="77"/>
      <c r="J2382" s="51"/>
    </row>
    <row r="2383" spans="2:10" x14ac:dyDescent="0.3">
      <c r="B2383" s="77">
        <v>42754</v>
      </c>
      <c r="C2383">
        <v>8435.1</v>
      </c>
      <c r="I2383" s="77"/>
      <c r="J2383" s="51"/>
    </row>
    <row r="2384" spans="2:10" x14ac:dyDescent="0.3">
      <c r="B2384" s="77">
        <v>42753</v>
      </c>
      <c r="C2384">
        <v>8417</v>
      </c>
      <c r="I2384" s="77"/>
      <c r="J2384" s="51"/>
    </row>
    <row r="2385" spans="2:10" x14ac:dyDescent="0.3">
      <c r="B2385" s="77">
        <v>42752</v>
      </c>
      <c r="C2385">
        <v>8398</v>
      </c>
      <c r="I2385" s="77"/>
      <c r="J2385" s="51"/>
    </row>
    <row r="2386" spans="2:10" x14ac:dyDescent="0.3">
      <c r="B2386" s="77">
        <v>42751</v>
      </c>
      <c r="C2386">
        <v>8412.7999999999993</v>
      </c>
      <c r="I2386" s="77"/>
      <c r="J2386" s="51"/>
    </row>
    <row r="2387" spans="2:10" x14ac:dyDescent="0.3">
      <c r="B2387" s="77">
        <v>42748</v>
      </c>
      <c r="C2387">
        <v>8400.35</v>
      </c>
      <c r="I2387" s="77"/>
      <c r="J2387" s="51"/>
    </row>
    <row r="2388" spans="2:10" x14ac:dyDescent="0.3">
      <c r="B2388" s="77">
        <v>42747</v>
      </c>
      <c r="C2388">
        <v>8407.2000000000007</v>
      </c>
      <c r="I2388" s="77"/>
      <c r="J2388" s="51"/>
    </row>
    <row r="2389" spans="2:10" x14ac:dyDescent="0.3">
      <c r="B2389" s="77">
        <v>42746</v>
      </c>
      <c r="C2389">
        <v>8380.65</v>
      </c>
      <c r="I2389" s="77"/>
      <c r="J2389" s="51"/>
    </row>
    <row r="2390" spans="2:10" x14ac:dyDescent="0.3">
      <c r="B2390" s="77">
        <v>42745</v>
      </c>
      <c r="C2390">
        <v>8288.6</v>
      </c>
      <c r="I2390" s="77"/>
      <c r="J2390" s="51"/>
    </row>
    <row r="2391" spans="2:10" x14ac:dyDescent="0.3">
      <c r="B2391" s="77">
        <v>42744</v>
      </c>
      <c r="C2391">
        <v>8236.0499999999993</v>
      </c>
      <c r="I2391" s="77"/>
      <c r="J2391" s="51"/>
    </row>
    <row r="2392" spans="2:10" x14ac:dyDescent="0.3">
      <c r="B2392" s="77">
        <v>42741</v>
      </c>
      <c r="C2392">
        <v>8243.7999999999993</v>
      </c>
      <c r="I2392" s="77"/>
      <c r="J2392" s="51"/>
    </row>
    <row r="2393" spans="2:10" x14ac:dyDescent="0.3">
      <c r="B2393" s="77">
        <v>42740</v>
      </c>
      <c r="C2393">
        <v>8273.7999999999993</v>
      </c>
      <c r="I2393" s="77"/>
      <c r="J2393" s="51"/>
    </row>
    <row r="2394" spans="2:10" x14ac:dyDescent="0.3">
      <c r="B2394" s="77">
        <v>42739</v>
      </c>
      <c r="C2394">
        <v>8190.5</v>
      </c>
      <c r="I2394" s="77"/>
      <c r="J2394" s="51"/>
    </row>
    <row r="2395" spans="2:10" x14ac:dyDescent="0.3">
      <c r="B2395" s="77">
        <v>42738</v>
      </c>
      <c r="C2395">
        <v>8192.25</v>
      </c>
      <c r="I2395" s="77"/>
      <c r="J2395" s="51"/>
    </row>
    <row r="2396" spans="2:10" x14ac:dyDescent="0.3">
      <c r="B2396" s="77">
        <v>42737</v>
      </c>
      <c r="C2396">
        <v>8179.5</v>
      </c>
      <c r="I2396" s="77"/>
      <c r="J2396" s="51"/>
    </row>
    <row r="2397" spans="2:10" x14ac:dyDescent="0.3">
      <c r="B2397" s="77">
        <v>42734</v>
      </c>
      <c r="C2397">
        <v>8185.8</v>
      </c>
      <c r="I2397" s="77"/>
      <c r="J2397" s="51"/>
    </row>
    <row r="2398" spans="2:10" x14ac:dyDescent="0.3">
      <c r="B2398" s="77">
        <v>42733</v>
      </c>
      <c r="C2398">
        <v>8103.6</v>
      </c>
      <c r="I2398" s="77"/>
      <c r="J2398" s="51"/>
    </row>
    <row r="2399" spans="2:10" x14ac:dyDescent="0.3">
      <c r="B2399" s="77">
        <v>42732</v>
      </c>
      <c r="C2399">
        <v>8034.85</v>
      </c>
      <c r="I2399" s="77"/>
      <c r="J2399" s="51"/>
    </row>
    <row r="2400" spans="2:10" x14ac:dyDescent="0.3">
      <c r="B2400" s="77">
        <v>42731</v>
      </c>
      <c r="C2400">
        <v>8032.85</v>
      </c>
      <c r="I2400" s="77"/>
      <c r="J2400" s="51"/>
    </row>
    <row r="2401" spans="2:10" x14ac:dyDescent="0.3">
      <c r="B2401" s="77">
        <v>42730</v>
      </c>
      <c r="C2401">
        <v>7908.25</v>
      </c>
      <c r="I2401" s="77"/>
      <c r="J2401" s="51"/>
    </row>
    <row r="2402" spans="2:10" x14ac:dyDescent="0.3">
      <c r="B2402" s="77">
        <v>42727</v>
      </c>
      <c r="C2402">
        <v>7985.75</v>
      </c>
      <c r="I2402" s="77"/>
      <c r="J2402" s="51"/>
    </row>
    <row r="2403" spans="2:10" x14ac:dyDescent="0.3">
      <c r="B2403" s="77">
        <v>42726</v>
      </c>
      <c r="C2403">
        <v>7979.1</v>
      </c>
      <c r="I2403" s="77"/>
      <c r="J2403" s="51"/>
    </row>
    <row r="2404" spans="2:10" x14ac:dyDescent="0.3">
      <c r="B2404" s="77">
        <v>42725</v>
      </c>
      <c r="C2404">
        <v>8061.3</v>
      </c>
      <c r="I2404" s="77"/>
      <c r="J2404" s="51"/>
    </row>
    <row r="2405" spans="2:10" x14ac:dyDescent="0.3">
      <c r="B2405" s="77">
        <v>42724</v>
      </c>
      <c r="C2405">
        <v>8082.4</v>
      </c>
      <c r="I2405" s="77"/>
      <c r="J2405" s="51"/>
    </row>
    <row r="2406" spans="2:10" x14ac:dyDescent="0.3">
      <c r="B2406" s="77">
        <v>42723</v>
      </c>
      <c r="C2406">
        <v>8104.35</v>
      </c>
      <c r="I2406" s="77"/>
      <c r="J2406" s="51"/>
    </row>
    <row r="2407" spans="2:10" x14ac:dyDescent="0.3">
      <c r="B2407" s="77">
        <v>42720</v>
      </c>
      <c r="C2407">
        <v>8139.45</v>
      </c>
      <c r="I2407" s="77"/>
      <c r="J2407" s="51"/>
    </row>
    <row r="2408" spans="2:10" x14ac:dyDescent="0.3">
      <c r="B2408" s="77">
        <v>42719</v>
      </c>
      <c r="C2408">
        <v>8153.6</v>
      </c>
      <c r="I2408" s="77"/>
      <c r="J2408" s="51"/>
    </row>
    <row r="2409" spans="2:10" x14ac:dyDescent="0.3">
      <c r="B2409" s="77">
        <v>42718</v>
      </c>
      <c r="C2409">
        <v>8182.45</v>
      </c>
      <c r="I2409" s="77"/>
      <c r="J2409" s="51"/>
    </row>
    <row r="2410" spans="2:10" x14ac:dyDescent="0.3">
      <c r="B2410" s="77">
        <v>42717</v>
      </c>
      <c r="C2410">
        <v>8221.7999999999993</v>
      </c>
      <c r="I2410" s="77"/>
      <c r="J2410" s="51"/>
    </row>
    <row r="2411" spans="2:10" x14ac:dyDescent="0.3">
      <c r="B2411" s="77">
        <v>42716</v>
      </c>
      <c r="C2411">
        <v>8170.8</v>
      </c>
      <c r="I2411" s="77"/>
      <c r="J2411" s="51"/>
    </row>
    <row r="2412" spans="2:10" x14ac:dyDescent="0.3">
      <c r="B2412" s="77">
        <v>42713</v>
      </c>
      <c r="C2412">
        <v>8261.75</v>
      </c>
      <c r="I2412" s="77"/>
      <c r="J2412" s="51"/>
    </row>
    <row r="2413" spans="2:10" x14ac:dyDescent="0.3">
      <c r="B2413" s="77">
        <v>42712</v>
      </c>
      <c r="C2413">
        <v>8246.85</v>
      </c>
      <c r="I2413" s="77"/>
      <c r="J2413" s="51"/>
    </row>
    <row r="2414" spans="2:10" x14ac:dyDescent="0.3">
      <c r="B2414" s="77">
        <v>42711</v>
      </c>
      <c r="C2414">
        <v>8102.05</v>
      </c>
      <c r="I2414" s="77"/>
      <c r="J2414" s="51"/>
    </row>
    <row r="2415" spans="2:10" x14ac:dyDescent="0.3">
      <c r="B2415" s="77">
        <v>42710</v>
      </c>
      <c r="C2415">
        <v>8143.15</v>
      </c>
      <c r="I2415" s="77"/>
      <c r="J2415" s="51"/>
    </row>
    <row r="2416" spans="2:10" x14ac:dyDescent="0.3">
      <c r="B2416" s="77">
        <v>42709</v>
      </c>
      <c r="C2416">
        <v>8128.75</v>
      </c>
      <c r="I2416" s="77"/>
      <c r="J2416" s="51"/>
    </row>
    <row r="2417" spans="2:10" x14ac:dyDescent="0.3">
      <c r="B2417" s="77">
        <v>42706</v>
      </c>
      <c r="C2417">
        <v>8086.8</v>
      </c>
      <c r="I2417" s="77"/>
      <c r="J2417" s="51"/>
    </row>
    <row r="2418" spans="2:10" x14ac:dyDescent="0.3">
      <c r="B2418" s="77">
        <v>42705</v>
      </c>
      <c r="C2418">
        <v>8192.9</v>
      </c>
      <c r="I2418" s="77"/>
      <c r="J2418" s="51"/>
    </row>
    <row r="2419" spans="2:10" x14ac:dyDescent="0.3">
      <c r="B2419" s="77">
        <v>42704</v>
      </c>
      <c r="C2419">
        <v>8224.5</v>
      </c>
      <c r="I2419" s="77"/>
      <c r="J2419" s="51"/>
    </row>
    <row r="2420" spans="2:10" x14ac:dyDescent="0.3">
      <c r="B2420" s="77">
        <v>42703</v>
      </c>
      <c r="C2420">
        <v>8142.15</v>
      </c>
      <c r="I2420" s="77"/>
      <c r="J2420" s="51"/>
    </row>
    <row r="2421" spans="2:10" x14ac:dyDescent="0.3">
      <c r="B2421" s="77">
        <v>42702</v>
      </c>
      <c r="C2421">
        <v>8126.9</v>
      </c>
      <c r="I2421" s="77"/>
      <c r="J2421" s="51"/>
    </row>
    <row r="2422" spans="2:10" x14ac:dyDescent="0.3">
      <c r="B2422" s="77">
        <v>42699</v>
      </c>
      <c r="C2422">
        <v>8114.3</v>
      </c>
      <c r="I2422" s="77"/>
      <c r="J2422" s="51"/>
    </row>
    <row r="2423" spans="2:10" x14ac:dyDescent="0.3">
      <c r="B2423" s="77">
        <v>42698</v>
      </c>
      <c r="C2423">
        <v>7965.5</v>
      </c>
      <c r="I2423" s="77"/>
      <c r="J2423" s="51"/>
    </row>
    <row r="2424" spans="2:10" x14ac:dyDescent="0.3">
      <c r="B2424" s="77">
        <v>42697</v>
      </c>
      <c r="C2424">
        <v>8033.3</v>
      </c>
      <c r="I2424" s="77"/>
      <c r="J2424" s="51"/>
    </row>
    <row r="2425" spans="2:10" x14ac:dyDescent="0.3">
      <c r="B2425" s="77">
        <v>42696</v>
      </c>
      <c r="C2425">
        <v>8002.3</v>
      </c>
      <c r="I2425" s="77"/>
      <c r="J2425" s="51"/>
    </row>
    <row r="2426" spans="2:10" x14ac:dyDescent="0.3">
      <c r="B2426" s="77">
        <v>42695</v>
      </c>
      <c r="C2426">
        <v>7929.1</v>
      </c>
      <c r="I2426" s="77"/>
      <c r="J2426" s="51"/>
    </row>
    <row r="2427" spans="2:10" x14ac:dyDescent="0.3">
      <c r="B2427" s="77">
        <v>42692</v>
      </c>
      <c r="C2427">
        <v>8074.1</v>
      </c>
      <c r="I2427" s="77"/>
      <c r="J2427" s="51"/>
    </row>
    <row r="2428" spans="2:10" x14ac:dyDescent="0.3">
      <c r="B2428" s="77">
        <v>42691</v>
      </c>
      <c r="C2428">
        <v>8079.95</v>
      </c>
      <c r="I2428" s="77"/>
      <c r="J2428" s="51"/>
    </row>
    <row r="2429" spans="2:10" x14ac:dyDescent="0.3">
      <c r="B2429" s="77">
        <v>42690</v>
      </c>
      <c r="C2429">
        <v>8111.6</v>
      </c>
      <c r="I2429" s="77"/>
      <c r="J2429" s="51"/>
    </row>
    <row r="2430" spans="2:10" x14ac:dyDescent="0.3">
      <c r="B2430" s="77">
        <v>42689</v>
      </c>
      <c r="C2430">
        <v>8108.45</v>
      </c>
      <c r="I2430" s="77"/>
      <c r="J2430" s="51"/>
    </row>
    <row r="2431" spans="2:10" x14ac:dyDescent="0.3">
      <c r="B2431" s="77">
        <v>42685</v>
      </c>
      <c r="C2431">
        <v>8296.2999999999993</v>
      </c>
      <c r="I2431" s="77"/>
      <c r="J2431" s="51"/>
    </row>
    <row r="2432" spans="2:10" x14ac:dyDescent="0.3">
      <c r="B2432" s="77">
        <v>42684</v>
      </c>
      <c r="C2432">
        <v>8525.75</v>
      </c>
      <c r="I2432" s="77"/>
      <c r="J2432" s="51"/>
    </row>
    <row r="2433" spans="2:10" x14ac:dyDescent="0.3">
      <c r="B2433" s="77">
        <v>42683</v>
      </c>
      <c r="C2433">
        <v>8432</v>
      </c>
      <c r="I2433" s="77"/>
      <c r="J2433" s="51"/>
    </row>
    <row r="2434" spans="2:10" x14ac:dyDescent="0.3">
      <c r="B2434" s="77">
        <v>42682</v>
      </c>
      <c r="C2434">
        <v>8543.5499999999993</v>
      </c>
      <c r="I2434" s="77"/>
      <c r="J2434" s="51"/>
    </row>
    <row r="2435" spans="2:10" x14ac:dyDescent="0.3">
      <c r="B2435" s="77">
        <v>42681</v>
      </c>
      <c r="C2435">
        <v>8497.0499999999993</v>
      </c>
      <c r="I2435" s="77"/>
      <c r="J2435" s="51"/>
    </row>
    <row r="2436" spans="2:10" x14ac:dyDescent="0.3">
      <c r="B2436" s="77">
        <v>42678</v>
      </c>
      <c r="C2436">
        <v>8433.75</v>
      </c>
      <c r="I2436" s="77"/>
      <c r="J2436" s="51"/>
    </row>
    <row r="2437" spans="2:10" x14ac:dyDescent="0.3">
      <c r="B2437" s="77">
        <v>42677</v>
      </c>
      <c r="C2437">
        <v>8484.9500000000007</v>
      </c>
      <c r="I2437" s="77"/>
      <c r="J2437" s="51"/>
    </row>
    <row r="2438" spans="2:10" x14ac:dyDescent="0.3">
      <c r="B2438" s="77">
        <v>42676</v>
      </c>
      <c r="C2438">
        <v>8514</v>
      </c>
      <c r="I2438" s="77"/>
      <c r="J2438" s="51"/>
    </row>
    <row r="2439" spans="2:10" x14ac:dyDescent="0.3">
      <c r="B2439" s="77">
        <v>42675</v>
      </c>
      <c r="C2439">
        <v>8626.25</v>
      </c>
      <c r="I2439" s="77"/>
      <c r="J2439" s="51"/>
    </row>
    <row r="2440" spans="2:10" x14ac:dyDescent="0.3">
      <c r="B2440" s="77">
        <v>42673</v>
      </c>
      <c r="C2440">
        <v>8625.7000000000007</v>
      </c>
      <c r="I2440" s="77"/>
      <c r="J2440" s="51"/>
    </row>
    <row r="2441" spans="2:10" x14ac:dyDescent="0.3">
      <c r="B2441" s="77">
        <v>42671</v>
      </c>
      <c r="C2441">
        <v>8638</v>
      </c>
      <c r="I2441" s="77"/>
      <c r="J2441" s="51"/>
    </row>
    <row r="2442" spans="2:10" x14ac:dyDescent="0.3">
      <c r="B2442" s="77">
        <v>42670</v>
      </c>
      <c r="C2442">
        <v>8615.25</v>
      </c>
      <c r="I2442" s="77"/>
      <c r="J2442" s="51"/>
    </row>
    <row r="2443" spans="2:10" x14ac:dyDescent="0.3">
      <c r="B2443" s="77">
        <v>42669</v>
      </c>
      <c r="C2443">
        <v>8615.25</v>
      </c>
      <c r="I2443" s="77"/>
      <c r="J2443" s="51"/>
    </row>
    <row r="2444" spans="2:10" x14ac:dyDescent="0.3">
      <c r="B2444" s="77">
        <v>42668</v>
      </c>
      <c r="C2444">
        <v>8691.2999999999993</v>
      </c>
      <c r="I2444" s="77"/>
      <c r="J2444" s="51"/>
    </row>
    <row r="2445" spans="2:10" x14ac:dyDescent="0.3">
      <c r="B2445" s="77">
        <v>42667</v>
      </c>
      <c r="C2445">
        <v>8708.9500000000007</v>
      </c>
      <c r="I2445" s="77"/>
      <c r="J2445" s="51"/>
    </row>
    <row r="2446" spans="2:10" x14ac:dyDescent="0.3">
      <c r="B2446" s="77">
        <v>42664</v>
      </c>
      <c r="C2446">
        <v>8693.0499999999993</v>
      </c>
      <c r="I2446" s="77"/>
      <c r="J2446" s="51"/>
    </row>
    <row r="2447" spans="2:10" x14ac:dyDescent="0.3">
      <c r="B2447" s="77">
        <v>42663</v>
      </c>
      <c r="C2447">
        <v>8699.4</v>
      </c>
      <c r="I2447" s="77"/>
      <c r="J2447" s="51"/>
    </row>
    <row r="2448" spans="2:10" x14ac:dyDescent="0.3">
      <c r="B2448" s="77">
        <v>42662</v>
      </c>
      <c r="C2448">
        <v>8659.1</v>
      </c>
      <c r="I2448" s="77"/>
      <c r="J2448" s="51"/>
    </row>
    <row r="2449" spans="2:10" x14ac:dyDescent="0.3">
      <c r="B2449" s="77">
        <v>42661</v>
      </c>
      <c r="C2449">
        <v>8677.9</v>
      </c>
      <c r="I2449" s="77"/>
      <c r="J2449" s="51"/>
    </row>
    <row r="2450" spans="2:10" x14ac:dyDescent="0.3">
      <c r="B2450" s="77">
        <v>42660</v>
      </c>
      <c r="C2450">
        <v>8520.4</v>
      </c>
      <c r="I2450" s="77"/>
      <c r="J2450" s="51"/>
    </row>
    <row r="2451" spans="2:10" x14ac:dyDescent="0.3">
      <c r="B2451" s="77">
        <v>42657</v>
      </c>
      <c r="C2451">
        <v>8583.4</v>
      </c>
      <c r="I2451" s="77"/>
      <c r="J2451" s="51"/>
    </row>
    <row r="2452" spans="2:10" x14ac:dyDescent="0.3">
      <c r="B2452" s="77">
        <v>42656</v>
      </c>
      <c r="C2452">
        <v>8573.35</v>
      </c>
      <c r="I2452" s="77"/>
      <c r="J2452" s="51"/>
    </row>
    <row r="2453" spans="2:10" x14ac:dyDescent="0.3">
      <c r="B2453" s="77">
        <v>42653</v>
      </c>
      <c r="C2453">
        <v>8708.7999999999993</v>
      </c>
      <c r="I2453" s="77"/>
      <c r="J2453" s="51"/>
    </row>
    <row r="2454" spans="2:10" x14ac:dyDescent="0.3">
      <c r="B2454" s="77">
        <v>42650</v>
      </c>
      <c r="C2454">
        <v>8697.6</v>
      </c>
      <c r="I2454" s="77"/>
      <c r="J2454" s="51"/>
    </row>
    <row r="2455" spans="2:10" x14ac:dyDescent="0.3">
      <c r="B2455" s="77">
        <v>42649</v>
      </c>
      <c r="C2455">
        <v>8709.5499999999993</v>
      </c>
      <c r="I2455" s="77"/>
      <c r="J2455" s="51"/>
    </row>
    <row r="2456" spans="2:10" x14ac:dyDescent="0.3">
      <c r="B2456" s="77">
        <v>42648</v>
      </c>
      <c r="C2456">
        <v>8743.9500000000007</v>
      </c>
      <c r="I2456" s="77"/>
      <c r="J2456" s="51"/>
    </row>
    <row r="2457" spans="2:10" x14ac:dyDescent="0.3">
      <c r="B2457" s="77">
        <v>42647</v>
      </c>
      <c r="C2457">
        <v>8769.15</v>
      </c>
      <c r="I2457" s="77"/>
      <c r="J2457" s="51"/>
    </row>
    <row r="2458" spans="2:10" x14ac:dyDescent="0.3">
      <c r="B2458" s="77">
        <v>42646</v>
      </c>
      <c r="C2458">
        <v>8738.1</v>
      </c>
      <c r="I2458" s="77"/>
      <c r="J2458" s="51"/>
    </row>
    <row r="2459" spans="2:10" x14ac:dyDescent="0.3">
      <c r="B2459" s="77">
        <v>42643</v>
      </c>
      <c r="C2459">
        <v>8611.15</v>
      </c>
      <c r="I2459" s="77"/>
      <c r="J2459" s="51"/>
    </row>
    <row r="2460" spans="2:10" x14ac:dyDescent="0.3">
      <c r="B2460" s="77">
        <v>42642</v>
      </c>
      <c r="C2460">
        <v>8591.25</v>
      </c>
      <c r="I2460" s="77"/>
      <c r="J2460" s="51"/>
    </row>
    <row r="2461" spans="2:10" x14ac:dyDescent="0.3">
      <c r="B2461" s="77">
        <v>42641</v>
      </c>
      <c r="C2461">
        <v>8745.15</v>
      </c>
      <c r="I2461" s="77"/>
      <c r="J2461" s="51"/>
    </row>
    <row r="2462" spans="2:10" x14ac:dyDescent="0.3">
      <c r="B2462" s="77">
        <v>42640</v>
      </c>
      <c r="C2462">
        <v>8706.4</v>
      </c>
      <c r="I2462" s="77"/>
      <c r="J2462" s="51"/>
    </row>
    <row r="2463" spans="2:10" x14ac:dyDescent="0.3">
      <c r="B2463" s="77">
        <v>42639</v>
      </c>
      <c r="C2463">
        <v>8723.0499999999993</v>
      </c>
      <c r="I2463" s="77"/>
      <c r="J2463" s="51"/>
    </row>
    <row r="2464" spans="2:10" x14ac:dyDescent="0.3">
      <c r="B2464" s="77">
        <v>42636</v>
      </c>
      <c r="C2464">
        <v>8831.5499999999993</v>
      </c>
      <c r="I2464" s="77"/>
      <c r="J2464" s="51"/>
    </row>
    <row r="2465" spans="2:10" x14ac:dyDescent="0.3">
      <c r="B2465" s="77">
        <v>42635</v>
      </c>
      <c r="C2465">
        <v>8867.4500000000007</v>
      </c>
      <c r="I2465" s="77"/>
      <c r="J2465" s="51"/>
    </row>
    <row r="2466" spans="2:10" x14ac:dyDescent="0.3">
      <c r="B2466" s="77">
        <v>42634</v>
      </c>
      <c r="C2466">
        <v>8777.15</v>
      </c>
      <c r="I2466" s="77"/>
      <c r="J2466" s="51"/>
    </row>
    <row r="2467" spans="2:10" x14ac:dyDescent="0.3">
      <c r="B2467" s="77">
        <v>42633</v>
      </c>
      <c r="C2467">
        <v>8775.9</v>
      </c>
      <c r="I2467" s="77"/>
      <c r="J2467" s="51"/>
    </row>
    <row r="2468" spans="2:10" x14ac:dyDescent="0.3">
      <c r="B2468" s="77">
        <v>42632</v>
      </c>
      <c r="C2468">
        <v>8808.4</v>
      </c>
      <c r="I2468" s="77"/>
      <c r="J2468" s="51"/>
    </row>
    <row r="2469" spans="2:10" x14ac:dyDescent="0.3">
      <c r="B2469" s="77">
        <v>42629</v>
      </c>
      <c r="C2469">
        <v>8779.85</v>
      </c>
      <c r="I2469" s="77"/>
      <c r="J2469" s="51"/>
    </row>
    <row r="2470" spans="2:10" x14ac:dyDescent="0.3">
      <c r="B2470" s="77">
        <v>42628</v>
      </c>
      <c r="C2470">
        <v>8742.5499999999993</v>
      </c>
      <c r="I2470" s="77"/>
      <c r="J2470" s="51"/>
    </row>
    <row r="2471" spans="2:10" x14ac:dyDescent="0.3">
      <c r="B2471" s="77">
        <v>42627</v>
      </c>
      <c r="C2471">
        <v>8726.6</v>
      </c>
      <c r="I2471" s="77"/>
      <c r="J2471" s="51"/>
    </row>
    <row r="2472" spans="2:10" x14ac:dyDescent="0.3">
      <c r="B2472" s="77">
        <v>42625</v>
      </c>
      <c r="C2472">
        <v>8715.6</v>
      </c>
      <c r="I2472" s="77"/>
      <c r="J2472" s="51"/>
    </row>
    <row r="2473" spans="2:10" x14ac:dyDescent="0.3">
      <c r="B2473" s="77">
        <v>42622</v>
      </c>
      <c r="C2473">
        <v>8866.7000000000007</v>
      </c>
      <c r="I2473" s="77"/>
      <c r="J2473" s="51"/>
    </row>
    <row r="2474" spans="2:10" x14ac:dyDescent="0.3">
      <c r="B2474" s="77">
        <v>42621</v>
      </c>
      <c r="C2474">
        <v>8952.5</v>
      </c>
      <c r="I2474" s="77"/>
      <c r="J2474" s="51"/>
    </row>
    <row r="2475" spans="2:10" x14ac:dyDescent="0.3">
      <c r="B2475" s="77">
        <v>42620</v>
      </c>
      <c r="C2475">
        <v>8917.9500000000007</v>
      </c>
      <c r="I2475" s="77"/>
      <c r="J2475" s="51"/>
    </row>
    <row r="2476" spans="2:10" x14ac:dyDescent="0.3">
      <c r="B2476" s="77">
        <v>42619</v>
      </c>
      <c r="C2476">
        <v>8943</v>
      </c>
      <c r="I2476" s="77"/>
      <c r="J2476" s="51"/>
    </row>
    <row r="2477" spans="2:10" x14ac:dyDescent="0.3">
      <c r="B2477" s="77">
        <v>42615</v>
      </c>
      <c r="C2477">
        <v>8809.65</v>
      </c>
      <c r="I2477" s="77"/>
      <c r="J2477" s="51"/>
    </row>
    <row r="2478" spans="2:10" x14ac:dyDescent="0.3">
      <c r="B2478" s="77">
        <v>42614</v>
      </c>
      <c r="C2478">
        <v>8774.65</v>
      </c>
      <c r="I2478" s="77"/>
      <c r="J2478" s="51"/>
    </row>
    <row r="2479" spans="2:10" x14ac:dyDescent="0.3">
      <c r="B2479" s="77">
        <v>42613</v>
      </c>
      <c r="C2479">
        <v>8786.2000000000007</v>
      </c>
      <c r="I2479" s="77"/>
      <c r="J2479" s="51"/>
    </row>
    <row r="2480" spans="2:10" x14ac:dyDescent="0.3">
      <c r="B2480" s="77">
        <v>42612</v>
      </c>
      <c r="C2480">
        <v>8744.35</v>
      </c>
      <c r="I2480" s="77"/>
      <c r="J2480" s="51"/>
    </row>
    <row r="2481" spans="2:10" x14ac:dyDescent="0.3">
      <c r="B2481" s="77">
        <v>42611</v>
      </c>
      <c r="C2481">
        <v>8607.4500000000007</v>
      </c>
      <c r="I2481" s="77"/>
      <c r="J2481" s="51"/>
    </row>
    <row r="2482" spans="2:10" x14ac:dyDescent="0.3">
      <c r="B2482" s="77">
        <v>42608</v>
      </c>
      <c r="C2482">
        <v>8572.5499999999993</v>
      </c>
      <c r="I2482" s="77"/>
      <c r="J2482" s="51"/>
    </row>
    <row r="2483" spans="2:10" x14ac:dyDescent="0.3">
      <c r="B2483" s="77">
        <v>42607</v>
      </c>
      <c r="C2483">
        <v>8592.2000000000007</v>
      </c>
    </row>
    <row r="2484" spans="2:10" x14ac:dyDescent="0.3">
      <c r="B2484" s="77">
        <v>42606</v>
      </c>
      <c r="C2484">
        <v>8650.2999999999993</v>
      </c>
    </row>
    <row r="2485" spans="2:10" x14ac:dyDescent="0.3">
      <c r="B2485" s="77">
        <v>42605</v>
      </c>
      <c r="C2485">
        <v>8632.6</v>
      </c>
    </row>
    <row r="2486" spans="2:10" x14ac:dyDescent="0.3">
      <c r="B2486" s="77">
        <v>42604</v>
      </c>
      <c r="C2486">
        <v>8629.15</v>
      </c>
    </row>
    <row r="2487" spans="2:10" x14ac:dyDescent="0.3">
      <c r="B2487" s="77">
        <v>42601</v>
      </c>
      <c r="C2487">
        <v>8666.9</v>
      </c>
    </row>
    <row r="2488" spans="2:10" x14ac:dyDescent="0.3">
      <c r="B2488" s="77">
        <v>42600</v>
      </c>
      <c r="C2488">
        <v>8673.25</v>
      </c>
    </row>
    <row r="2489" spans="2:10" x14ac:dyDescent="0.3">
      <c r="B2489" s="77">
        <v>42599</v>
      </c>
      <c r="C2489">
        <v>8624.0499999999993</v>
      </c>
    </row>
    <row r="2490" spans="2:10" x14ac:dyDescent="0.3">
      <c r="B2490" s="77">
        <v>42598</v>
      </c>
      <c r="C2490">
        <v>8642.5499999999993</v>
      </c>
    </row>
    <row r="2491" spans="2:10" x14ac:dyDescent="0.3">
      <c r="B2491" s="77">
        <v>42594</v>
      </c>
      <c r="C2491">
        <v>8672.15</v>
      </c>
    </row>
    <row r="2492" spans="2:10" x14ac:dyDescent="0.3">
      <c r="B2492" s="77">
        <v>42593</v>
      </c>
      <c r="C2492">
        <v>8592.15</v>
      </c>
    </row>
    <row r="2493" spans="2:10" x14ac:dyDescent="0.3">
      <c r="B2493" s="77">
        <v>42592</v>
      </c>
      <c r="C2493">
        <v>8575.2999999999993</v>
      </c>
    </row>
    <row r="2494" spans="2:10" x14ac:dyDescent="0.3">
      <c r="B2494" s="77">
        <v>42591</v>
      </c>
      <c r="C2494">
        <v>8678.25</v>
      </c>
    </row>
    <row r="2495" spans="2:10" x14ac:dyDescent="0.3">
      <c r="B2495" s="77">
        <v>42590</v>
      </c>
      <c r="C2495">
        <v>8711.35</v>
      </c>
    </row>
  </sheetData>
  <sortState xmlns:xlrd2="http://schemas.microsoft.com/office/spreadsheetml/2017/richdata2" ref="I2:J2482">
    <sortCondition descending="1" ref="I2:I2482"/>
  </sortState>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B0002-C70E-400E-801F-4D7D6CAAF544}">
  <dimension ref="B3:R19"/>
  <sheetViews>
    <sheetView showGridLines="0" topLeftCell="A2" workbookViewId="0">
      <selection activeCell="J19" sqref="J19"/>
    </sheetView>
  </sheetViews>
  <sheetFormatPr defaultRowHeight="14.4" x14ac:dyDescent="0.3"/>
  <cols>
    <col min="1" max="1" width="4" customWidth="1"/>
    <col min="2" max="2" width="5.44140625" bestFit="1" customWidth="1"/>
    <col min="3" max="3" width="13.44140625" bestFit="1" customWidth="1"/>
    <col min="4" max="4" width="8.21875" bestFit="1" customWidth="1"/>
    <col min="5" max="5" width="14.109375" bestFit="1" customWidth="1"/>
    <col min="6" max="6" width="11" bestFit="1" customWidth="1"/>
    <col min="7" max="7" width="10.44140625" bestFit="1" customWidth="1"/>
    <col min="8" max="8" width="11.21875" bestFit="1" customWidth="1"/>
    <col min="9" max="9" width="11.21875" customWidth="1"/>
    <col min="10" max="10" width="10.77734375" bestFit="1" customWidth="1"/>
    <col min="11" max="11" width="6" bestFit="1" customWidth="1"/>
    <col min="12" max="12" width="14.44140625" bestFit="1" customWidth="1"/>
    <col min="13" max="13" width="11" bestFit="1" customWidth="1"/>
    <col min="14" max="14" width="19.44140625" bestFit="1" customWidth="1"/>
    <col min="15" max="15" width="13.6640625" bestFit="1" customWidth="1"/>
    <col min="16" max="16" width="14.21875" bestFit="1" customWidth="1"/>
    <col min="17" max="17" width="20.88671875" bestFit="1" customWidth="1"/>
  </cols>
  <sheetData>
    <row r="3" spans="2:18" ht="28.8" x14ac:dyDescent="0.55000000000000004">
      <c r="B3" s="16" t="s">
        <v>160</v>
      </c>
      <c r="C3" s="3"/>
      <c r="D3" s="3"/>
      <c r="E3" s="3"/>
      <c r="F3" s="3"/>
      <c r="G3" s="3"/>
      <c r="H3" s="3"/>
      <c r="I3" s="3"/>
      <c r="J3" s="3"/>
      <c r="K3" s="3"/>
      <c r="L3" s="3"/>
      <c r="M3" s="3"/>
      <c r="N3" s="3"/>
      <c r="O3" s="3"/>
      <c r="P3" s="3"/>
      <c r="Q3" s="3"/>
      <c r="R3" s="3"/>
    </row>
    <row r="4" spans="2:18" x14ac:dyDescent="0.3">
      <c r="B4" s="17" t="s">
        <v>161</v>
      </c>
      <c r="C4" s="3"/>
      <c r="D4" s="3"/>
      <c r="E4" s="33"/>
      <c r="F4" s="33"/>
      <c r="G4" s="33"/>
      <c r="H4" s="33"/>
      <c r="I4" s="33"/>
      <c r="J4" s="33"/>
      <c r="K4" s="34"/>
      <c r="L4" s="34"/>
      <c r="M4" s="34"/>
      <c r="N4" s="34"/>
      <c r="O4" s="34"/>
      <c r="P4" s="34"/>
      <c r="Q4" s="34"/>
      <c r="R4" s="34"/>
    </row>
    <row r="5" spans="2:18" x14ac:dyDescent="0.3">
      <c r="B5" s="2" t="s">
        <v>159</v>
      </c>
      <c r="C5" s="3"/>
      <c r="D5" s="3"/>
      <c r="E5" s="18"/>
      <c r="F5" s="18"/>
      <c r="G5" s="18"/>
      <c r="H5" s="18"/>
      <c r="I5" s="18"/>
      <c r="J5" s="18"/>
      <c r="K5" s="19"/>
      <c r="L5" s="19"/>
      <c r="M5" s="19"/>
      <c r="N5" s="19"/>
      <c r="O5" s="19"/>
      <c r="P5" s="19"/>
      <c r="Q5" s="19"/>
      <c r="R5" s="19"/>
    </row>
    <row r="7" spans="2:18" x14ac:dyDescent="0.3">
      <c r="B7" s="3" t="s">
        <v>281</v>
      </c>
      <c r="C7" s="3" t="s">
        <v>282</v>
      </c>
      <c r="D7" s="3" t="s">
        <v>291</v>
      </c>
      <c r="E7" s="3" t="s">
        <v>292</v>
      </c>
      <c r="F7" s="3" t="s">
        <v>293</v>
      </c>
      <c r="G7" s="3" t="s">
        <v>294</v>
      </c>
      <c r="H7" s="3" t="s">
        <v>295</v>
      </c>
      <c r="I7" s="3" t="s">
        <v>275</v>
      </c>
      <c r="J7" s="3" t="s">
        <v>283</v>
      </c>
      <c r="K7" s="3" t="s">
        <v>279</v>
      </c>
      <c r="L7" s="3" t="s">
        <v>296</v>
      </c>
      <c r="M7" s="3" t="s">
        <v>297</v>
      </c>
      <c r="N7" s="3" t="s">
        <v>298</v>
      </c>
      <c r="O7" s="3" t="s">
        <v>299</v>
      </c>
      <c r="P7" s="3" t="s">
        <v>300</v>
      </c>
      <c r="Q7" s="3" t="s">
        <v>301</v>
      </c>
      <c r="R7" s="3" t="s">
        <v>315</v>
      </c>
    </row>
    <row r="9" spans="2:18" x14ac:dyDescent="0.3">
      <c r="B9">
        <v>1</v>
      </c>
      <c r="C9" t="s">
        <v>284</v>
      </c>
      <c r="D9" s="4">
        <v>2640</v>
      </c>
      <c r="E9" s="4">
        <v>264590</v>
      </c>
      <c r="F9" s="4">
        <v>3928.93</v>
      </c>
      <c r="G9" s="4">
        <f t="shared" ref="G9:G15" si="0">E9+F9-M9</f>
        <v>267445.25</v>
      </c>
      <c r="H9" s="4">
        <v>37186.93</v>
      </c>
      <c r="I9" s="4">
        <v>6700</v>
      </c>
      <c r="J9" s="4">
        <f>G9/I9</f>
        <v>39.917201492537316</v>
      </c>
      <c r="K9" s="4">
        <v>54.25</v>
      </c>
      <c r="L9" s="4">
        <v>4877.01</v>
      </c>
      <c r="M9" s="4">
        <v>1073.68</v>
      </c>
      <c r="N9" s="4">
        <v>3357.42</v>
      </c>
      <c r="O9" s="4">
        <v>7239.71</v>
      </c>
      <c r="P9" s="4">
        <v>1753.39</v>
      </c>
      <c r="Q9" s="4">
        <v>1671.28</v>
      </c>
      <c r="R9" s="62">
        <v>0.27</v>
      </c>
    </row>
    <row r="10" spans="2:18" x14ac:dyDescent="0.3">
      <c r="B10">
        <v>2</v>
      </c>
      <c r="C10" t="s">
        <v>285</v>
      </c>
      <c r="D10" s="4">
        <v>524.4</v>
      </c>
      <c r="E10" s="4">
        <v>60613.919999999998</v>
      </c>
      <c r="F10" s="4">
        <v>635.13</v>
      </c>
      <c r="G10" s="4">
        <f t="shared" si="0"/>
        <v>60943.74</v>
      </c>
      <c r="H10" s="4">
        <v>11880.25</v>
      </c>
      <c r="I10" s="4">
        <v>1833</v>
      </c>
      <c r="J10" s="4">
        <f t="shared" ref="J10:J15" si="1">G10/I10</f>
        <v>33.24808510638298</v>
      </c>
      <c r="K10" s="4">
        <v>53.57</v>
      </c>
      <c r="L10" s="4">
        <v>1131.43</v>
      </c>
      <c r="M10" s="4">
        <v>305.31</v>
      </c>
      <c r="N10" s="4">
        <v>253.95</v>
      </c>
      <c r="O10" s="4">
        <v>1833.3</v>
      </c>
      <c r="P10" s="4">
        <v>360.08</v>
      </c>
      <c r="Q10" s="4">
        <v>374.42</v>
      </c>
      <c r="R10" s="62">
        <v>0.24</v>
      </c>
    </row>
    <row r="11" spans="2:18" x14ac:dyDescent="0.3">
      <c r="B11">
        <v>3</v>
      </c>
      <c r="C11" t="s">
        <v>286</v>
      </c>
      <c r="D11" s="4">
        <v>205.85</v>
      </c>
      <c r="E11" s="4">
        <v>16213.34</v>
      </c>
      <c r="F11" s="4">
        <v>302.73</v>
      </c>
      <c r="G11" s="4">
        <f t="shared" si="0"/>
        <v>16290.289999999999</v>
      </c>
      <c r="H11" s="4">
        <v>8051.91</v>
      </c>
      <c r="I11" s="4">
        <v>975</v>
      </c>
      <c r="J11" s="4">
        <f t="shared" si="1"/>
        <v>16.707989743589742</v>
      </c>
      <c r="K11" s="4">
        <v>28</v>
      </c>
      <c r="L11" s="4">
        <v>579.07000000000005</v>
      </c>
      <c r="M11" s="4">
        <v>225.78</v>
      </c>
      <c r="N11" s="4">
        <v>29.6</v>
      </c>
      <c r="O11" s="4">
        <v>974.6</v>
      </c>
      <c r="P11" s="4">
        <v>221.14</v>
      </c>
      <c r="Q11" s="4">
        <v>221.55</v>
      </c>
      <c r="R11" s="62">
        <v>0.31</v>
      </c>
    </row>
    <row r="12" spans="2:18" x14ac:dyDescent="0.3">
      <c r="B12">
        <v>4</v>
      </c>
      <c r="C12" t="s">
        <v>287</v>
      </c>
      <c r="D12" s="4">
        <v>3118.8</v>
      </c>
      <c r="E12" s="4">
        <v>13529.69</v>
      </c>
      <c r="F12" s="4">
        <v>79.099999999999994</v>
      </c>
      <c r="G12" s="4">
        <f t="shared" si="0"/>
        <v>13285.09</v>
      </c>
      <c r="H12" s="4">
        <v>3599.2</v>
      </c>
      <c r="I12" s="4">
        <v>509</v>
      </c>
      <c r="J12" s="4">
        <f t="shared" si="1"/>
        <v>26.100373280943025</v>
      </c>
      <c r="K12" s="4">
        <v>37.46</v>
      </c>
      <c r="L12" s="4">
        <v>361.15</v>
      </c>
      <c r="M12" s="4">
        <v>323.7</v>
      </c>
      <c r="N12" s="4">
        <v>248.2</v>
      </c>
      <c r="O12" s="4">
        <v>509.2</v>
      </c>
      <c r="P12" s="4">
        <v>391.7</v>
      </c>
      <c r="Q12" s="4">
        <v>331.3</v>
      </c>
      <c r="R12" s="62">
        <v>0.17</v>
      </c>
    </row>
    <row r="13" spans="2:18" x14ac:dyDescent="0.3">
      <c r="B13">
        <v>5</v>
      </c>
      <c r="C13" t="s">
        <v>288</v>
      </c>
      <c r="D13" s="4">
        <v>1151.8</v>
      </c>
      <c r="E13" s="4">
        <v>5272.62</v>
      </c>
      <c r="F13" s="4">
        <v>18.37</v>
      </c>
      <c r="G13" s="4">
        <f t="shared" si="0"/>
        <v>5262.44</v>
      </c>
      <c r="H13" s="4">
        <v>1330.12</v>
      </c>
      <c r="I13" s="4">
        <v>247</v>
      </c>
      <c r="J13" s="4">
        <f t="shared" si="1"/>
        <v>21.305425101214574</v>
      </c>
      <c r="K13" s="4">
        <v>35.21</v>
      </c>
      <c r="L13" s="4">
        <v>149.75</v>
      </c>
      <c r="M13" s="4">
        <v>28.55</v>
      </c>
      <c r="N13" s="4">
        <v>37.090000000000003</v>
      </c>
      <c r="O13" s="4">
        <v>246.72</v>
      </c>
      <c r="P13" s="4">
        <v>49.88</v>
      </c>
      <c r="Q13" s="4">
        <v>47.16</v>
      </c>
      <c r="R13" s="62">
        <v>0.26</v>
      </c>
    </row>
    <row r="14" spans="2:18" x14ac:dyDescent="0.3">
      <c r="B14">
        <v>6</v>
      </c>
      <c r="C14" t="s">
        <v>289</v>
      </c>
      <c r="D14" s="4">
        <v>451.2</v>
      </c>
      <c r="E14" s="4">
        <v>2284.7600000000002</v>
      </c>
      <c r="F14" s="4">
        <v>32.32</v>
      </c>
      <c r="G14" s="4">
        <f t="shared" si="0"/>
        <v>2259.1000000000004</v>
      </c>
      <c r="H14" s="4">
        <v>508.26</v>
      </c>
      <c r="I14" s="4">
        <v>99</v>
      </c>
      <c r="J14" s="4">
        <f t="shared" si="1"/>
        <v>22.819191919191923</v>
      </c>
      <c r="K14" s="4">
        <v>34.08</v>
      </c>
      <c r="L14" s="4">
        <v>67.05</v>
      </c>
      <c r="M14" s="4">
        <v>57.98</v>
      </c>
      <c r="N14" s="4">
        <v>43.24</v>
      </c>
      <c r="O14" s="4">
        <v>100.37</v>
      </c>
      <c r="P14" s="4">
        <v>22.99</v>
      </c>
      <c r="Q14" s="4">
        <v>23.01</v>
      </c>
      <c r="R14" s="62">
        <v>0.25</v>
      </c>
    </row>
    <row r="15" spans="2:18" x14ac:dyDescent="0.3">
      <c r="B15">
        <v>7</v>
      </c>
      <c r="C15" t="s">
        <v>290</v>
      </c>
      <c r="D15" s="4">
        <v>80.89</v>
      </c>
      <c r="E15" s="4">
        <v>579.38</v>
      </c>
      <c r="F15" s="4">
        <v>164.76</v>
      </c>
      <c r="G15" s="4">
        <f t="shared" si="0"/>
        <v>697.05</v>
      </c>
      <c r="H15" s="4">
        <v>575.63</v>
      </c>
      <c r="I15" s="4">
        <v>-22</v>
      </c>
      <c r="J15" s="4">
        <f t="shared" si="1"/>
        <v>-31.684090909090909</v>
      </c>
      <c r="K15" s="4">
        <v>0</v>
      </c>
      <c r="L15" s="4">
        <v>-60.35</v>
      </c>
      <c r="M15" s="4">
        <v>47.09</v>
      </c>
      <c r="N15" s="4">
        <v>-23.83</v>
      </c>
      <c r="O15" s="4">
        <v>-22.4</v>
      </c>
      <c r="P15" s="4">
        <v>-0.44</v>
      </c>
      <c r="Q15" s="4">
        <v>0</v>
      </c>
      <c r="R15" s="62">
        <v>-0.01</v>
      </c>
    </row>
    <row r="18" spans="3:3" x14ac:dyDescent="0.3">
      <c r="C18" t="s">
        <v>496</v>
      </c>
    </row>
    <row r="19" spans="3:3" x14ac:dyDescent="0.3">
      <c r="C19" t="s">
        <v>497</v>
      </c>
    </row>
  </sheetData>
  <autoFilter ref="E7:E15" xr:uid="{E88B0002-C70E-400E-801F-4D7D6CAAF544}"/>
  <sortState xmlns:xlrd2="http://schemas.microsoft.com/office/spreadsheetml/2017/richdata2" ref="B7:Q7">
    <sortCondition ref="B7"/>
  </sortState>
  <hyperlinks>
    <hyperlink ref="C9" r:id="rId1" display="https://www.screener.in/company/ASIANPAINT/consolidated/" xr:uid="{DBF7DF2D-DB11-45B4-B633-42528D479FCD}"/>
    <hyperlink ref="C10" r:id="rId2" display="https://www.screener.in/company/BERGEPAINT/consolidated/" xr:uid="{B92A51FF-7D48-4506-9101-185A4937E8AF}"/>
    <hyperlink ref="C11" r:id="rId3" display="https://www.screener.in/company/KANSAINER/consolidated/" xr:uid="{5E578A70-9F49-477E-8BC3-4582A6C9BD0D}"/>
    <hyperlink ref="C12" r:id="rId4" display="https://www.screener.in/company/JSWDULUX/consolidated/" xr:uid="{FC0FE0C3-74F3-41E0-8960-58B18B442122}"/>
    <hyperlink ref="C13" r:id="rId5" display="https://www.screener.in/company/INDIGOPNTS/" xr:uid="{245F9035-7A3B-4828-A77E-ED6E859A4923}"/>
    <hyperlink ref="C14" r:id="rId6" display="https://www.screener.in/company/SIRCA/" xr:uid="{E8394893-6487-4E44-A28C-79F325A2AE02}"/>
    <hyperlink ref="C15" r:id="rId7" display="https://www.screener.in/company/SHALPAINTS/consolidated/" xr:uid="{D43CF8DC-1062-4751-80D5-A4B24AB1220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Index</vt:lpstr>
      <vt:lpstr>Assumption</vt:lpstr>
      <vt:lpstr>Model</vt:lpstr>
      <vt:lpstr>Ratios</vt:lpstr>
      <vt:lpstr>WACC</vt:lpstr>
      <vt:lpstr>Beta</vt:lpstr>
      <vt:lpstr>Company Valuation</vt:lpstr>
      <vt:lpstr>Scenario</vt:lpstr>
      <vt:lpstr>P&amp;L</vt:lpstr>
      <vt:lpstr>BS</vt:lpstr>
      <vt:lpstr>CF</vt:lpstr>
      <vt:lpstr>Index Data</vt:lpstr>
      <vt:lpstr>Company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 Nilapwar</dc:creator>
  <cp:lastModifiedBy>Om Nilapwar</cp:lastModifiedBy>
  <cp:lastPrinted>2026-07-28T18:32:08Z</cp:lastPrinted>
  <dcterms:created xsi:type="dcterms:W3CDTF">2026-07-28T18:15:37Z</dcterms:created>
  <dcterms:modified xsi:type="dcterms:W3CDTF">2026-09-20T18:37:46Z</dcterms:modified>
</cp:coreProperties>
</file>